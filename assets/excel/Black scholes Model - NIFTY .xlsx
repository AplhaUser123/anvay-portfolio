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Anvay Document\ANVAY-PORTFOLIO-WEBSITE\assets\excel\"/>
    </mc:Choice>
  </mc:AlternateContent>
  <xr:revisionPtr revIDLastSave="0" documentId="13_ncr:1_{237CB667-A8A9-45B2-BF12-CE48500F7656}" xr6:coauthVersionLast="47" xr6:coauthVersionMax="47" xr10:uidLastSave="{00000000-0000-0000-0000-000000000000}"/>
  <bookViews>
    <workbookView xWindow="-108" yWindow="-108" windowWidth="23256" windowHeight="12456" tabRatio="750" activeTab="3" xr2:uid="{00000000-000D-0000-FFFF-FFFF00000000}"/>
  </bookViews>
  <sheets>
    <sheet name="01_Dashboard" sheetId="1" r:id="rId1"/>
    <sheet name="02_Market_Data" sheetId="2" r:id="rId2"/>
    <sheet name="03_BS_Engine" sheetId="3" r:id="rId3"/>
    <sheet name="04_Risk_Greeks" sheetId="4" r:id="rId4"/>
    <sheet name="05_Sensitivity_Matrix" sheetId="5" r:id="rId5"/>
    <sheet name="06_Advanced_Applications" sheetId="6" r:id="rId6"/>
  </sheets>
  <definedNames>
    <definedName name="bs_d1">'03_BS_Engine'!$C$6</definedName>
    <definedName name="bs_d2">'03_BS_Engine'!$C$7</definedName>
    <definedName name="dividend_yield">'02_Market_Data'!$C$11</definedName>
    <definedName name="implied_volatlity">'02_Market_Data'!$C$10</definedName>
    <definedName name="lot_size">'02_Market_Data'!$C$12</definedName>
    <definedName name="n_d1">'03_BS_Engine'!$D$6</definedName>
    <definedName name="n_d2">'03_BS_Engine'!$D$7</definedName>
    <definedName name="risk_free_rate">'02_Market_Data'!$C$9</definedName>
    <definedName name="spot_price">'02_Market_Data'!$C$6</definedName>
    <definedName name="strike_price">'02_Market_Data'!$C$7</definedName>
    <definedName name="time_to_maturity">'02_Market_Data'!$C$8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6" l="1"/>
  <c r="C13" i="6"/>
  <c r="C10" i="2"/>
  <c r="C23" i="6" s="1"/>
  <c r="C8" i="2"/>
  <c r="D16" i="1" s="1"/>
  <c r="C6" i="2"/>
  <c r="E41" i="1"/>
  <c r="E40" i="1"/>
  <c r="E39" i="1"/>
  <c r="E38" i="1"/>
  <c r="E37" i="1"/>
  <c r="E36" i="1"/>
  <c r="E35" i="1"/>
  <c r="E34" i="1"/>
  <c r="E33" i="1"/>
  <c r="E32" i="1"/>
  <c r="E31" i="1"/>
  <c r="E30" i="1"/>
  <c r="E29" i="1"/>
  <c r="E28" i="1"/>
  <c r="E27" i="1"/>
  <c r="E26" i="1"/>
  <c r="E25" i="1"/>
  <c r="E24" i="1"/>
  <c r="E23" i="1"/>
  <c r="E22" i="1"/>
  <c r="E21" i="1"/>
  <c r="E16" i="1"/>
  <c r="C16" i="1"/>
  <c r="C17" i="3" l="1"/>
  <c r="F16" i="1"/>
  <c r="C6" i="3"/>
  <c r="C7" i="3" s="1"/>
  <c r="C12" i="4" s="1"/>
  <c r="D12" i="4" s="1"/>
  <c r="C21" i="6"/>
  <c r="C22" i="6" s="1"/>
  <c r="C24" i="6"/>
  <c r="B16" i="1"/>
  <c r="B39" i="1" s="1"/>
  <c r="C12" i="6"/>
  <c r="B35" i="1" l="1"/>
  <c r="B27" i="1"/>
  <c r="C10" i="4"/>
  <c r="D11" i="1" s="1"/>
  <c r="B36" i="1"/>
  <c r="B34" i="1"/>
  <c r="B21" i="1"/>
  <c r="B41" i="1"/>
  <c r="C7" i="4"/>
  <c r="D9" i="1" s="1"/>
  <c r="B33" i="1"/>
  <c r="C6" i="4"/>
  <c r="D6" i="4" s="1"/>
  <c r="B25" i="1"/>
  <c r="B31" i="1"/>
  <c r="B28" i="1"/>
  <c r="B23" i="1"/>
  <c r="B24" i="1"/>
  <c r="D7" i="3"/>
  <c r="C11" i="4" s="1"/>
  <c r="D11" i="4" s="1"/>
  <c r="B26" i="1"/>
  <c r="B30" i="1"/>
  <c r="D6" i="3"/>
  <c r="C5" i="4" s="1"/>
  <c r="C8" i="4"/>
  <c r="C10" i="1" s="1"/>
  <c r="B38" i="1"/>
  <c r="B37" i="1"/>
  <c r="B40" i="1"/>
  <c r="B29" i="1"/>
  <c r="B32" i="1"/>
  <c r="B22" i="1"/>
  <c r="F8" i="1" l="1"/>
  <c r="K6" i="4"/>
  <c r="D8" i="1"/>
  <c r="D10" i="4"/>
  <c r="D7" i="4"/>
  <c r="C9" i="1"/>
  <c r="C15" i="6"/>
  <c r="C11" i="6"/>
  <c r="D10" i="1"/>
  <c r="D8" i="4"/>
  <c r="C11" i="3"/>
  <c r="C12" i="3"/>
  <c r="C9" i="4"/>
  <c r="D5" i="4"/>
  <c r="G6" i="4" s="1"/>
  <c r="C8" i="1"/>
  <c r="K8" i="4" l="1"/>
  <c r="G8" i="4"/>
  <c r="G7" i="4"/>
  <c r="K7" i="4"/>
  <c r="F11" i="1"/>
  <c r="K9" i="4"/>
  <c r="F9" i="1"/>
  <c r="B47" i="5"/>
  <c r="E9" i="1"/>
  <c r="E10" i="1"/>
  <c r="F10" i="1"/>
  <c r="D7" i="1"/>
  <c r="D12" i="3"/>
  <c r="D11" i="3"/>
  <c r="C16" i="3"/>
  <c r="C18" i="3" s="1"/>
  <c r="C7" i="1"/>
  <c r="C11" i="1"/>
  <c r="D9" i="4"/>
  <c r="G9" i="4" s="1"/>
  <c r="C16" i="6"/>
  <c r="C17" i="6" s="1"/>
  <c r="B32" i="5"/>
  <c r="E8" i="1"/>
  <c r="L8" i="4" l="1"/>
  <c r="L9" i="4"/>
  <c r="L6" i="4"/>
  <c r="K10" i="4"/>
  <c r="L7" i="4"/>
  <c r="G10" i="4"/>
  <c r="H6" i="4" s="1"/>
  <c r="E11" i="1"/>
  <c r="C39" i="1"/>
  <c r="C38" i="1"/>
  <c r="C28" i="1"/>
  <c r="C40" i="1"/>
  <c r="C25" i="1"/>
  <c r="C33" i="1"/>
  <c r="C22" i="1"/>
  <c r="C30" i="1"/>
  <c r="C29" i="1"/>
  <c r="C27" i="1"/>
  <c r="C32" i="1"/>
  <c r="C26" i="1"/>
  <c r="C37" i="1"/>
  <c r="C41" i="1"/>
  <c r="C31" i="1"/>
  <c r="C36" i="1"/>
  <c r="C21" i="1"/>
  <c r="C23" i="1"/>
  <c r="C35" i="1"/>
  <c r="C24" i="1"/>
  <c r="C34" i="1"/>
  <c r="E7" i="1"/>
  <c r="B4" i="5"/>
  <c r="F7" i="1"/>
  <c r="B18" i="5"/>
  <c r="D39" i="1"/>
  <c r="D41" i="1"/>
  <c r="D26" i="1"/>
  <c r="D23" i="1"/>
  <c r="D24" i="1"/>
  <c r="D33" i="1"/>
  <c r="D28" i="1"/>
  <c r="D31" i="1"/>
  <c r="D36" i="1"/>
  <c r="D21" i="1"/>
  <c r="D25" i="1"/>
  <c r="D34" i="1"/>
  <c r="D32" i="1"/>
  <c r="D22" i="1"/>
  <c r="D35" i="1"/>
  <c r="D27" i="1"/>
  <c r="D30" i="1"/>
  <c r="D37" i="1"/>
  <c r="D29" i="1"/>
  <c r="D38" i="1"/>
  <c r="D40" i="1"/>
  <c r="H7" i="4" l="1"/>
  <c r="H9" i="4"/>
  <c r="L10" i="4"/>
  <c r="H8" i="4"/>
  <c r="F41" i="1"/>
  <c r="F37" i="1"/>
  <c r="F35" i="1"/>
  <c r="F25" i="1"/>
  <c r="F28" i="1"/>
  <c r="F33" i="1"/>
  <c r="F27" i="1"/>
  <c r="F34" i="1"/>
  <c r="F26" i="1"/>
  <c r="F32" i="1"/>
  <c r="F39" i="1"/>
  <c r="F24" i="1"/>
  <c r="F30" i="1"/>
  <c r="F40" i="1"/>
  <c r="F23" i="1"/>
  <c r="F38" i="1"/>
  <c r="F29" i="1"/>
  <c r="F36" i="1"/>
  <c r="F31" i="1"/>
  <c r="F22" i="1"/>
  <c r="F21" i="1"/>
  <c r="H1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B20" authorId="0" shapeId="0" xr:uid="{054546E2-28F8-4ACA-8729-620A6B969E42}">
      <text>
        <r>
          <rPr>
            <b/>
            <sz val="9"/>
            <color indexed="81"/>
            <rFont val="Tahoma"/>
            <family val="2"/>
          </rPr>
          <t>Anvay:</t>
        </r>
        <r>
          <rPr>
            <sz val="9"/>
            <color indexed="81"/>
            <rFont val="Tahoma"/>
            <family val="2"/>
          </rPr>
          <t xml:space="preserve">
Move (%) ko hardcode karna bilkul sahi hai kyunki hum khud se scenarios bana rahe hain. Hum check kar rahe hain ki agar Expiry ke din Nifty apne aaj ke daam (₹22,000) se 10% gir jaye (₹19,800) ya 10% bhag jaye (₹24,200), toh kya hoga. Sim Spot (Simulated Spot) unhi future scenarios ka exact price nikal raha hai.</t>
        </r>
      </text>
    </comment>
    <comment ref="C20" authorId="0" shapeId="0" xr:uid="{9A162670-F5D0-413F-AD5E-6F9DDC946F46}">
      <text>
        <r>
          <rPr>
            <b/>
            <sz val="9"/>
            <color indexed="81"/>
            <rFont val="Tahoma"/>
            <family val="2"/>
          </rPr>
          <t>Anvay:</t>
        </r>
        <r>
          <rPr>
            <sz val="9"/>
            <color indexed="81"/>
            <rFont val="Tahoma"/>
            <family val="2"/>
          </rPr>
          <t xml:space="preserve">
Interpretation:
MAX(Sim_Spot - Strike, 0) ka matlab hai: Agar Nifty aapke Strike (₹22,000) se neeche raha, toh option ki value zero (0) ho jayegi. Aapko khareedne ka haq use karne ka koi fayda nahi.
Dhyan se Row 21 se 31 tak dekhiye: Call P&amp;L lagatar -₹21,065.18 dikha raha hai. Iska matlab hai ki agar Nifty ₹22,000 ke neeche expire hua, toh Call option worthless ho jayega, aur aapka maximum nuksan utna hi hoga jitna aapne premium pay kiya tha (₹21,065).
Jaise hi Nifty ₹22,000 cross karta hai (Row 32 onwards), aapka nuksan kam hone lagta hai aur ₹23,000 par ja kar aapko ₹33,934 ka solid profit hota hai. (Limited Risk, Unlimited Reward).</t>
        </r>
      </text>
    </comment>
    <comment ref="D20" authorId="0" shapeId="0" xr:uid="{2D2BE53D-0460-4667-9363-13E9E46A8BE3}">
      <text>
        <r>
          <rPr>
            <b/>
            <sz val="9"/>
            <color indexed="81"/>
            <rFont val="Tahoma"/>
            <family val="2"/>
          </rPr>
          <t>Anvay:</t>
        </r>
        <r>
          <rPr>
            <sz val="9"/>
            <color indexed="81"/>
            <rFont val="Tahoma"/>
            <family val="2"/>
          </rPr>
          <t xml:space="preserve">
Yeh Call ka ulta (mirror image) hai. Agar market bhag kar ₹24,000 chala gaya, toh aapka Put option kachra ho jayega aur aap maximum -₹16,241.60 (jo premium bhara tha) lose karenge. Lekin agar market sach mein crash ho kar ₹19,800 par aa gaya (Row 21), toh aapko ₹93,758 ka bhayankar profit hoga!</t>
        </r>
      </text>
    </comment>
    <comment ref="F20" authorId="0" shapeId="0" xr:uid="{4F37401C-B459-4FD7-B24B-8EA18D3DEDFE}">
      <text>
        <r>
          <rPr>
            <b/>
            <sz val="9"/>
            <color indexed="81"/>
            <rFont val="Tahoma"/>
            <family val="2"/>
          </rPr>
          <t>Anvay:</t>
        </r>
        <r>
          <rPr>
            <sz val="9"/>
            <color indexed="81"/>
            <rFont val="Tahoma"/>
            <family val="2"/>
          </rPr>
          <t xml:space="preserve">
"Long Straddle" ek bohot famous option strategy hai. Isme trader ek hi strike (₹22,000) ka Call aur Put dono ek saath kharid leta hai.
Kyun kharidte hain? Jab Union Budget aane wala ho ya Election ke results aane wale hon, tab humein pata hota hai ki Nifty ya toh 1000 point bhagega ya 1000 point girega, par "kis disha mein jayega" yeh nahi pata hota.
Matrix mein dekhiye (The Danger Zone): Agar market flat reh gaya aur ₹22,000 par hi band ho gaya (Row 31), toh aapke Call aur Put dono zero ho jayenge. Aapko sabse bada nuksan hoga: -₹37,306 (Dono premium doob gaye).
The Jackpot Zone: Agar Nifty 10% crash ho gaya (Row 21) ya 10% bhag gaya (Row 41), toh aapka Net Straddle aapko +₹72,693 ka shandar net profit dega (Ek leg zero ho jayega, par doosra leg aapko double se zyada paise bana kar dega).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D6" authorId="0" shapeId="0" xr:uid="{7C22F0C3-FB2A-40C2-A064-166D02FC1CBA}">
      <text>
        <r>
          <rPr>
            <b/>
            <sz val="9"/>
            <color indexed="81"/>
            <rFont val="Tahoma"/>
            <family val="2"/>
          </rPr>
          <t>Anvay:</t>
        </r>
        <r>
          <rPr>
            <sz val="9"/>
            <color indexed="81"/>
            <rFont val="Tahoma"/>
            <family val="2"/>
          </rPr>
          <t xml:space="preserve">
Market aur Strike lagbhag barabar hain. Option ke favour mein halka sa positive advantage hai, lekin koi strong bullish signal nahi hai. Market mein halka sa bullish tilt hai.</t>
        </r>
      </text>
    </comment>
    <comment ref="D7" authorId="0" shapeId="0" xr:uid="{499A3F87-5E1E-4232-A2E0-BE528B014193}">
      <text>
        <r>
          <rPr>
            <b/>
            <sz val="9"/>
            <color indexed="81"/>
            <rFont val="Tahoma"/>
            <family val="2"/>
          </rPr>
          <t>Anvay:</t>
        </r>
        <r>
          <rPr>
            <sz val="9"/>
            <color indexed="81"/>
            <rFont val="Tahoma"/>
            <family val="2"/>
          </rPr>
          <t xml:space="preserve">
Model ke hisaab se option ke expiry tak profit zone (ITM) mein finish hone ke chances lagbhag 53% hain. Strike ke upar finish hone ka chance ~53%.</t>
        </r>
      </text>
    </comment>
    <comment ref="C11" authorId="0" shapeId="0" xr:uid="{50FC2B62-1B50-4697-81DC-CBA5ED2BB2C2}">
      <text>
        <r>
          <rPr>
            <b/>
            <sz val="9"/>
            <color indexed="81"/>
            <rFont val="Tahoma"/>
            <family val="2"/>
          </rPr>
          <t>Anvay:</t>
        </r>
        <r>
          <rPr>
            <sz val="9"/>
            <color indexed="81"/>
            <rFont val="Tahoma"/>
            <family val="2"/>
          </rPr>
          <t xml:space="preserve">
Agar aaj NIFTY 22,000 hai aur tum 22,000 Strike ka Call Option kharidna chahte ho, to Black-Scholes ke hisaab se us option ki fair value ₹421.30 per share hai. 
Market upar jaane ke chance ke liye tum ₹421.30 pay kar rahe ho.
Call Buyer
Bolta hai: "Mujhe lagta hai market upar jayega." Us right ko kharidne ke liye ₹421.30 deta hai. Agar market nahi badha: Premium ka nuksan ho sakta hai.</t>
        </r>
      </text>
    </comment>
    <comment ref="D11" authorId="0" shapeId="0" xr:uid="{4D9253D0-EEB1-481C-87A6-A8060D9ABB1C}">
      <text>
        <r>
          <rPr>
            <b/>
            <sz val="9"/>
            <color indexed="81"/>
            <rFont val="Tahoma"/>
            <family val="2"/>
          </rPr>
          <t>Anvay:</t>
        </r>
        <r>
          <rPr>
            <sz val="9"/>
            <color indexed="81"/>
            <rFont val="Tahoma"/>
            <family val="2"/>
          </rPr>
          <t xml:space="preserve">
Ek poora contract kharidne ke liye kitna paisa lagega.Exchange ke minimum tradable contract ki total price</t>
        </r>
      </text>
    </comment>
    <comment ref="C12" authorId="0" shapeId="0" xr:uid="{675169AB-9140-4D1F-A0A1-4F5C1CB1C8AD}">
      <text>
        <r>
          <rPr>
            <b/>
            <sz val="9"/>
            <color indexed="81"/>
            <rFont val="Tahoma"/>
            <family val="2"/>
          </rPr>
          <t>Anvay:</t>
        </r>
        <r>
          <rPr>
            <sz val="9"/>
            <color indexed="81"/>
            <rFont val="Tahoma"/>
            <family val="2"/>
          </rPr>
          <t xml:space="preserve">
Agar tum 22,000 Strike ka Put Option kharidna chahte ho, to Black-Scholes ke hisaab se uski fair value ₹324.83 per share hai. Market neeche jaane ke chance ke liye tum ₹324.83 pay kar rahe ho.
Put Buyer Bolta hai:
"Mujhe lagta hai market girega."  
Us right ko kharidne ke liye ₹324.83 deta hai.
Agar market nahi gira:
❌ Premium ka nuksan ho sakta hai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B5" authorId="0" shapeId="0" xr:uid="{479C50D1-FA9A-4301-B2C1-A125B8C20108}">
      <text>
        <r>
          <rPr>
            <b/>
            <sz val="9"/>
            <color indexed="81"/>
            <rFont val="Tahoma"/>
            <family val="2"/>
          </rPr>
          <t>Anvay:</t>
        </r>
        <r>
          <rPr>
            <sz val="9"/>
            <color indexed="81"/>
            <rFont val="Tahoma"/>
            <family val="2"/>
          </rPr>
          <t xml:space="preserve">
Call Delta batata hai ki NIFTY ₹1 move kare to Call Premium kitna move karega.
Current Value: 0.549
Meaning:
Agar NIFTY ₹100 badhe, to Call Premium approx ₹54.9 badhega.
Simple Yaad:
Delta = Option ka Speedometer</t>
        </r>
      </text>
    </comment>
    <comment ref="D5" authorId="0" shapeId="0" xr:uid="{B5B3D430-73B3-4C2D-BF06-A4FAD9F7ACFA}">
      <text>
        <r>
          <rPr>
            <b/>
            <sz val="9"/>
            <color indexed="81"/>
            <rFont val="Tahoma"/>
            <family val="2"/>
          </rPr>
          <t>Anvay:</t>
        </r>
        <r>
          <rPr>
            <sz val="9"/>
            <color indexed="81"/>
            <rFont val="Tahoma"/>
            <family val="2"/>
          </rPr>
          <t xml:space="preserve">
Yeh sabse critical hai. Aapne 1 lot (50 options) kharida hai. 50 * 0.549 = 27.45. Iska matlab hai, Nifty mein 1 lot Call option hold karna, exactly 27.45 actual NIFTY shares kharidne ke barabar ka risk hai. Isey "Share Equivalent" kehte hain.</t>
        </r>
      </text>
    </comment>
    <comment ref="B6" authorId="0" shapeId="0" xr:uid="{2D19D11F-0BEC-483D-BFD6-B8BB620EA6AA}">
      <text>
        <r>
          <rPr>
            <b/>
            <sz val="9"/>
            <color indexed="81"/>
            <rFont val="Tahoma"/>
            <family val="2"/>
          </rPr>
          <t>Anvay:</t>
        </r>
        <r>
          <rPr>
            <sz val="9"/>
            <color indexed="81"/>
            <rFont val="Tahoma"/>
            <family val="2"/>
          </rPr>
          <t xml:space="preserve">
Put Delta batata hai ki NIFTY ₹1 move kare to Put Premium kitna move karega.
Current Value: -0.450
Meaning:
Agar NIFTY ₹100 badhe, to Put Premium approx ₹45 ghatega.
Negative sign normal hai.
Simple Yaad:
Put aur Market opposite direction mein move karte hain.</t>
        </r>
      </text>
    </comment>
    <comment ref="B7" authorId="0" shapeId="0" xr:uid="{7446F770-59BC-47A2-8DE0-6491B34AADFC}">
      <text>
        <r>
          <rPr>
            <b/>
            <sz val="9"/>
            <color indexed="81"/>
            <rFont val="Tahoma"/>
            <family val="2"/>
          </rPr>
          <t>Anvay:</t>
        </r>
        <r>
          <rPr>
            <sz val="9"/>
            <color indexed="81"/>
            <rFont val="Tahoma"/>
            <family val="2"/>
          </rPr>
          <t xml:space="preserve">
Gamma batata hai ki Delta kitni fast change ho raha hai.
Current Value: 0.00042
Meaning:
NIFTY move hone par Delta bhi change hoga. Us change ki speed Gamma measure karta hai.
Simple Yaad:
Gamma = Delta ka Speedometer
Delta ki Delta</t>
        </r>
      </text>
    </comment>
    <comment ref="B8" authorId="0" shapeId="0" xr:uid="{FD79380B-9BCC-44FA-839E-161176FF6B73}">
      <text>
        <r>
          <rPr>
            <b/>
            <sz val="9"/>
            <color indexed="81"/>
            <rFont val="Tahoma"/>
            <family val="2"/>
          </rPr>
          <t>Anvay:</t>
        </r>
        <r>
          <rPr>
            <sz val="9"/>
            <color indexed="81"/>
            <rFont val="Tahoma"/>
            <family val="2"/>
          </rPr>
          <t xml:space="preserve">
Vega batata hai ki Implied Volatility (IV) 1% badhe to Premium kitna badhega.
Current Value: ₹24.60
Meaning:
Agar IV 15% se 19% ho jaye, to Option Premium approx ₹24.60 badhega.
Simple Yaad:
Vega = Fear Meter
Market mein uncertainty badhegi to Vega profit dega.</t>
        </r>
      </text>
    </comment>
    <comment ref="B9" authorId="0" shapeId="0" xr:uid="{23D6576B-506F-4EAE-AD57-588968EDF84A}">
      <text>
        <r>
          <rPr>
            <b/>
            <sz val="9"/>
            <color indexed="81"/>
            <rFont val="Tahoma"/>
            <family val="2"/>
          </rPr>
          <t>Anvay:</t>
        </r>
        <r>
          <rPr>
            <sz val="9"/>
            <color indexed="81"/>
            <rFont val="Tahoma"/>
            <family val="2"/>
          </rPr>
          <t xml:space="preserve">
Theta = Daily Value Lost Due to Time Passing.
Theta batata hai ki sirf time beetne se Premium kitna ghatega.
Current Value: -₹8.06 per day
Meaning:
Agar sab kuch same rahe aur 1 din nikal jaye, to Call Premium approx ₹8.06 ghat jayega.
Simple Yaad:
Theta = Daily Rent Paid by Option Buyer
Time Option ka sabse bada enemy hai.</t>
        </r>
      </text>
    </comment>
    <comment ref="B10" authorId="0" shapeId="0" xr:uid="{6AEB2AE8-7CCF-4B41-AD90-6D7A3966874D}">
      <text>
        <r>
          <rPr>
            <b/>
            <sz val="9"/>
            <color indexed="81"/>
            <rFont val="Tahoma"/>
            <family val="2"/>
          </rPr>
          <t>Anvay:</t>
        </r>
        <r>
          <rPr>
            <sz val="9"/>
            <color indexed="81"/>
            <rFont val="Tahoma"/>
            <family val="2"/>
          </rPr>
          <t xml:space="preserve">
Theta batata hai ki sirf time beetne se Put Premium kitna ghatega.
Current Value: -₹4.77 per day
Meaning:
Agar sab kuch same rahe aur 1 din nikal jaye, to Put Premium approx ₹4.77 ghat jayega.
Simple Yaad:
Har din expiry paas aati hai aur option ki value melt hoti hai.</t>
        </r>
      </text>
    </comment>
    <comment ref="B11" authorId="0" shapeId="0" xr:uid="{1CCC5111-ADB9-46EE-BD4C-1B5D13C7BC7A}">
      <text>
        <r>
          <rPr>
            <b/>
            <sz val="9"/>
            <color indexed="81"/>
            <rFont val="Tahoma"/>
            <family val="2"/>
          </rPr>
          <t>Anvay:</t>
        </r>
        <r>
          <rPr>
            <sz val="9"/>
            <color indexed="81"/>
            <rFont val="Tahoma"/>
            <family val="2"/>
          </rPr>
          <t xml:space="preserve">
Rho batata hai ki Risk-Free Rate (Interest Rate) 1% badhe to Call Premium kitna badhega.
Current Value: ₹9.33
Meaning:
Agar interest rate 7% se 8% ho jaye, to Call Premium approx ₹9.33 badhega.
Simple Yaad:
Rates Up = Call Up</t>
        </r>
      </text>
    </comment>
    <comment ref="B12" authorId="0" shapeId="0" xr:uid="{30AC272B-CE24-4A52-AACE-9F62473FF1DD}">
      <text>
        <r>
          <rPr>
            <b/>
            <sz val="9"/>
            <color indexed="81"/>
            <rFont val="Tahoma"/>
            <family val="2"/>
          </rPr>
          <t>Anvay:</t>
        </r>
        <r>
          <rPr>
            <sz val="9"/>
            <color indexed="81"/>
            <rFont val="Tahoma"/>
            <family val="2"/>
          </rPr>
          <t xml:space="preserve">
Rho batata hai ki Risk-Free Rate (Interest Rate) 1% badhe to Put Premium kitna badhega ya ghatega.
Current Value: -₹8.18
Meaning:
Agar interest rate 7% se 8% ho jaye, to Put Premium approx ₹8.18 ghat jayega.
Simple Yaad:
Rates Up = Put Down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L4" authorId="0" shapeId="0" xr:uid="{E3151E5A-5254-48C4-A074-FA3261AF38DE}">
      <text>
        <r>
          <rPr>
            <b/>
            <sz val="9"/>
            <color indexed="81"/>
            <rFont val="Tahoma"/>
            <family val="2"/>
          </rPr>
          <t>Anvay:</t>
        </r>
        <r>
          <rPr>
            <sz val="9"/>
            <color indexed="81"/>
            <rFont val="Tahoma"/>
            <family val="2"/>
          </rPr>
          <t xml:space="preserve">
The Double Whammy (Top Left - Red): Agar Nifty ₹20,000 par crash kar jaye aur market achanak shant ho jaye (Vol 10%), toh aapka ₹21,000 ka premium pighal kar sirf ₹5 reh jayega. Capital almost wipe out!
The Double Jackpot (Bottom Right - Green): Agar Nifty ₹23,600 chala jaye aur Volatility (VIX) shoot karke 26% ho jaye, toh option ₹93,080 ka ho jayega.
Real-World Insight: Dhyan se dekhiye ₹21,600 ki row ko. Market aapke strike (22,000) se neeche gira hai. Agar Volatility 10% hui toh premium ₹6,142 bachega, lekin agar Volatility 28% hui toh premium girne ke bajaye ₹27,266 ho jayega! Yaani market khilaf gaya, phir bhi aap profit mein nikal gaye sirf Implied Volatility ke badhne ki wajah se. Isey "Long Vega" trade kehte hain.</t>
        </r>
      </text>
    </comment>
    <comment ref="H32" authorId="0" shapeId="0" xr:uid="{FF05A12E-80C3-4D85-8024-FAC002B586FE}">
      <text>
        <r>
          <rPr>
            <b/>
            <sz val="9"/>
            <color indexed="81"/>
            <rFont val="Tahoma"/>
            <family val="2"/>
          </rPr>
          <t>Anvay:</t>
        </r>
        <r>
          <rPr>
            <sz val="9"/>
            <color indexed="81"/>
            <rFont val="Tahoma"/>
            <family val="2"/>
          </rPr>
          <t xml:space="preserve">
Long Time (Column 0.08): Dekhiye colors kitne smoothly blend ho rahe hain. Delta dheere-dheere 0.85 se 49.20 tak badal raha hai. Market mein aaram hai.
Expiry Day (Column 0.002): Aakhri column mein koi smooth color blend nahi hai. Seedha Red (0.00) se Green (50.00) ka jump hai ₹22,000 (ATM) ke paas.
Real-World Insight: Isey M&amp;A deal closing se compare kariye. Shuru mein deal hone ke 50-50 chances hote hain (Delta ~25). Par jab closing day (Expiry) aata hai, toh deal ya toh 100% close hogi (Deep ITM, Delta = 50) ya phir 100% cancel hogi (Deep OTM, Delta = 0). Expiry ke din ATM options par yeh jo achanak 0 ya 50 banne ka khatra hota hai, isey desk par "Pin Risk" kehte hain.</t>
        </r>
      </text>
    </comment>
    <comment ref="H47" authorId="0" shapeId="0" xr:uid="{C0856C94-5559-4EA9-9A25-DA8ABB892AA5}">
      <text>
        <r>
          <rPr>
            <b/>
            <sz val="9"/>
            <color indexed="81"/>
            <rFont val="Tahoma"/>
            <family val="2"/>
          </rPr>
          <t>Anvay:</t>
        </r>
        <r>
          <rPr>
            <sz val="9"/>
            <color indexed="81"/>
            <rFont val="Tahoma"/>
            <family val="2"/>
          </rPr>
          <t xml:space="preserve">
The "Gamma Blast" Zone: Poora table Red/Yellow hai, lekin sirf ek cell dark Green hai—Spot 22,000 at Time 0.002 (Value = 0.135).
Real-World Insight: Gamma batata hai ki Delta kitni tezi se badlega. Expiry wale din (0.002) agar Nifty bilkul aapke Strike (22,000) ke upar khada hai, toh agle ek chote se ₹50 ke move se aapka Delta achanak zero se full lot mein convert ho sakta hai. Is point par Gamma sabse violently explode karta hai. Option buyers poora maheena is ek dark green box ka wait karte hain, jahan option ka daam ₹5 se ₹100 sirf kuch minto mein ho jata hai.</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Anvay</author>
  </authors>
  <commentList>
    <comment ref="C6" authorId="0" shapeId="0" xr:uid="{6274FE09-60EB-4D03-A6DE-749EA2AE7B0E}">
      <text>
        <r>
          <rPr>
            <b/>
            <sz val="9"/>
            <color indexed="81"/>
            <rFont val="Tahoma"/>
            <family val="2"/>
          </rPr>
          <t>Anvay:</t>
        </r>
        <r>
          <rPr>
            <sz val="9"/>
            <color indexed="81"/>
            <rFont val="Tahoma"/>
            <family val="2"/>
          </rPr>
          <t xml:space="preserve">
Maan lijiye aapke paas Reliance, HDFC, aur TCS jaise stocks ka milakar ₹1 Crore ka portfolio hai. Par aapka portfolio Nifty 50 ke mukable kitna tezi se hilta hai? Yeh Beta batata hai.
Portfolio ki total current market value. Saare risk aur hedge calculations isi amount par based hote hain.</t>
        </r>
      </text>
    </comment>
    <comment ref="C7" authorId="0" shapeId="0" xr:uid="{96761029-6066-41CD-B0A2-7BCBF6C31D0B}">
      <text>
        <r>
          <rPr>
            <b/>
            <sz val="9"/>
            <color indexed="81"/>
            <rFont val="Tahoma"/>
            <family val="2"/>
          </rPr>
          <t>Anvay:</t>
        </r>
        <r>
          <rPr>
            <sz val="9"/>
            <color indexed="81"/>
            <rFont val="Tahoma"/>
            <family val="2"/>
          </rPr>
          <t xml:space="preserve">
Yahan Beta 1.20 hai. Iska matlab agar Nifty 1% girta hai, toh aapka portfolio 1.2% girega (yaani aapka portfolio market se 20% zyada risky hai).
Portfolio NIFTY ke comparison mein kitna aggressively move karta hai.</t>
        </r>
      </text>
    </comment>
    <comment ref="C14" authorId="0" shapeId="0" xr:uid="{600C6732-CA2D-4171-9C11-84FA8A3E6CCE}">
      <text>
        <r>
          <rPr>
            <b/>
            <sz val="9"/>
            <color indexed="81"/>
            <rFont val="Tahoma"/>
            <family val="2"/>
          </rPr>
          <t>Anvay:</t>
        </r>
        <r>
          <rPr>
            <sz val="9"/>
            <color indexed="81"/>
            <rFont val="Tahoma"/>
            <family val="2"/>
          </rPr>
          <t xml:space="preserve">
Risk ke nazariye se, market ko nahi farq padta ki aapke paas ₹1 Crore hai. Market dekhega ki aapka risk 1.2 times zyada hai.
Formula: Portfolio Value * Beta (1 Crore * 1.2 = ₹1.2 Crore).
Interpretation: Insurance (Put Options) aapko ₹1 Crore ka nahi, balki is ₹1.2 Crore (Adjusted Value) ka lena padega taaki aap fully protect ho sakein.</t>
        </r>
      </text>
    </comment>
    <comment ref="C15" authorId="0" shapeId="0" xr:uid="{1A19D5F3-F09B-4D5C-A46C-95C43EB50228}">
      <text>
        <r>
          <rPr>
            <b/>
            <sz val="9"/>
            <color indexed="81"/>
            <rFont val="Tahoma"/>
            <family val="2"/>
          </rPr>
          <t>Anvay:</t>
        </r>
        <r>
          <rPr>
            <sz val="9"/>
            <color indexed="81"/>
            <rFont val="Tahoma"/>
            <family val="2"/>
          </rPr>
          <t xml:space="preserve">
Apne ₹1.2 Crore ke risk ko zero (Delta-Neutral) karne ke liye mujhe Nifty ke kitne Put option Lots kharidne padenge?</t>
        </r>
      </text>
    </comment>
    <comment ref="C16" authorId="0" shapeId="0" xr:uid="{D1850432-5781-4653-BBF4-9F7E51475619}">
      <text>
        <r>
          <rPr>
            <b/>
            <sz val="9"/>
            <color indexed="81"/>
            <rFont val="Tahoma"/>
            <family val="2"/>
          </rPr>
          <t>Anvay:</t>
        </r>
        <r>
          <rPr>
            <sz val="9"/>
            <color indexed="81"/>
            <rFont val="Tahoma"/>
            <family val="2"/>
          </rPr>
          <t xml:space="preserve">
Aapko ₹406,040 ka premium dena padega. Yeh aapke total portfolio ka 4.06% hai. Agar aapko lagta hai ki is mahine market crash hoga, toh apne 1 Crore ko bachane ke liye 4% ki cost (insurance premium) dena ek achhi deal ho sakti hai. Downside protection kharidne ki total cost.</t>
        </r>
      </text>
    </comment>
    <comment ref="C21" authorId="0" shapeId="0" xr:uid="{2EC40E6E-575B-457E-A83B-2D22D3F0C37B}">
      <text>
        <r>
          <rPr>
            <b/>
            <sz val="9"/>
            <color indexed="81"/>
            <rFont val="Tahoma"/>
            <family val="2"/>
          </rPr>
          <t>Anvay:</t>
        </r>
        <r>
          <rPr>
            <sz val="9"/>
            <color indexed="81"/>
            <rFont val="Tahoma"/>
            <family val="2"/>
          </rPr>
          <t xml:space="preserve">
99% confidence ke saath expected maximum one-day loss.</t>
        </r>
      </text>
    </comment>
    <comment ref="C22" authorId="0" shapeId="0" xr:uid="{0B5123EB-7B79-4DFB-9A3E-3E74047F8210}">
      <text>
        <r>
          <rPr>
            <b/>
            <sz val="9"/>
            <color indexed="81"/>
            <rFont val="Tahoma"/>
            <family val="2"/>
          </rPr>
          <t>Anvay:</t>
        </r>
        <r>
          <rPr>
            <sz val="9"/>
            <color indexed="81"/>
            <rFont val="Tahoma"/>
            <family val="2"/>
          </rPr>
          <t xml:space="preserve">
Basel methodology ke hisaab se 10-day downside risk estimate.</t>
        </r>
      </text>
    </comment>
    <comment ref="C23" authorId="0" shapeId="0" xr:uid="{FC0AA721-27AD-43A5-8542-11281312B40B}">
      <text>
        <r>
          <rPr>
            <b/>
            <sz val="9"/>
            <color indexed="81"/>
            <rFont val="Tahoma"/>
            <family val="2"/>
          </rPr>
          <t>Anvay:</t>
        </r>
        <r>
          <rPr>
            <sz val="9"/>
            <color indexed="81"/>
            <rFont val="Tahoma"/>
            <family val="2"/>
          </rPr>
          <t xml:space="preserve">
Portfolio ki annual expected volatility after beta adjustment.</t>
        </r>
      </text>
    </comment>
    <comment ref="C24" authorId="0" shapeId="0" xr:uid="{5175858D-5620-4A12-A2C1-FCC0BDDDAD08}">
      <text>
        <r>
          <rPr>
            <b/>
            <sz val="9"/>
            <color indexed="81"/>
            <rFont val="Tahoma"/>
            <family val="2"/>
          </rPr>
          <t>Anvay:</t>
        </r>
        <r>
          <rPr>
            <sz val="9"/>
            <color indexed="81"/>
            <rFont val="Tahoma"/>
            <family val="2"/>
          </rPr>
          <t xml:space="preserve">
NIFTY ka normal daily move lagbhag ₹208 hai.</t>
        </r>
      </text>
    </comment>
  </commentList>
</comments>
</file>

<file path=xl/sharedStrings.xml><?xml version="1.0" encoding="utf-8"?>
<sst xmlns="http://schemas.openxmlformats.org/spreadsheetml/2006/main" count="148" uniqueCount="127">
  <si>
    <t>🏦  BLACK-SCHOLES OPTIONS PRICING  ·  NIFTY 50  |  NSE Prop Desk Dashboard</t>
  </si>
  <si>
    <t>Merton (1973) Extension  ·  All values in ₹  ·  FAST Standard  ·  Model v2.0  ·  Lot Size: NIFTY 50 = 50</t>
  </si>
  <si>
    <t xml:space="preserve">  SECTION A  ·  Live Pricing &amp; Greeks Summary</t>
  </si>
  <si>
    <t>Metric</t>
  </si>
  <si>
    <t>CALL</t>
  </si>
  <si>
    <t>PUT</t>
  </si>
  <si>
    <t>CALL × Lot (₹)</t>
  </si>
  <si>
    <t>PUT × Lot (₹)</t>
  </si>
  <si>
    <t>Premium (₹)</t>
  </si>
  <si>
    <t>Delta</t>
  </si>
  <si>
    <t>Gamma</t>
  </si>
  <si>
    <t>Vega (per 1% vol)</t>
  </si>
  <si>
    <t>Theta (Daily, ₹)</t>
  </si>
  <si>
    <t xml:space="preserve">  SECTION B  ·  Key Inputs Snapshot  (linked from Market Data)</t>
  </si>
  <si>
    <t>Spot</t>
  </si>
  <si>
    <t>Strike</t>
  </si>
  <si>
    <t>Expiry (T)</t>
  </si>
  <si>
    <t>Rate (r)</t>
  </si>
  <si>
    <t>IV (σ)</t>
  </si>
  <si>
    <t xml:space="preserve">  SECTION C  ·  P&amp;L Payoff Matrix at Expiration  (NIFTY ±10% Range)</t>
  </si>
  <si>
    <t>Sim Spot (₹)</t>
  </si>
  <si>
    <t>Call P&amp;L (₹)</t>
  </si>
  <si>
    <t>Put P&amp;L (₹)</t>
  </si>
  <si>
    <t>Move (%)</t>
  </si>
  <si>
    <t>Net Straddle (₹)</t>
  </si>
  <si>
    <t>⚙  NIFTY 50 Option Pricing — Input Control Panel</t>
  </si>
  <si>
    <t>Source: NSE/BSE  |  Blue = user inputs  |  FAST Model Standard</t>
  </si>
  <si>
    <t>Parameter</t>
  </si>
  <si>
    <t>Value</t>
  </si>
  <si>
    <t>Description / Source</t>
  </si>
  <si>
    <t>Spot Price  (S)</t>
  </si>
  <si>
    <t>NSE NIFTY 50 Index Level  |  Source: NSE Live</t>
  </si>
  <si>
    <t>Strike Price  (X)</t>
  </si>
  <si>
    <t>ATM Strike  |  NSE F&amp;O Contract</t>
  </si>
  <si>
    <t>Time to Maturity  (T, yrs)</t>
  </si>
  <si>
    <t>~29 trading days (1 month expiry)</t>
  </si>
  <si>
    <t>Risk-Free Rate  (r)</t>
  </si>
  <si>
    <t>10-Yr G-Sec Yield  |  Source: RBI</t>
  </si>
  <si>
    <t>Implied Volatility  (σ)</t>
  </si>
  <si>
    <t>India VIX proxy  |  Source: NSE VIX</t>
  </si>
  <si>
    <t>Dividend Yield  (q)</t>
  </si>
  <si>
    <t>NIFTY 50 Div Yield  |  Source: NSE</t>
  </si>
  <si>
    <t>Lot Size</t>
  </si>
  <si>
    <t>NIFTY 50 Standard Lot  |  Source: NSE F&amp;O</t>
  </si>
  <si>
    <t>📐  Black-Scholes-Merton Pricing Engine  |  With Merton (1973) Dividend Extension</t>
  </si>
  <si>
    <t xml:space="preserve">  SECTION A  ·  Intermediate d₁ and d₂ Calculations</t>
  </si>
  <si>
    <t>Component</t>
  </si>
  <si>
    <t>d₁  —  Log-Moneyness Adjusted</t>
  </si>
  <si>
    <t>d₂  —  Risk-Adjusted Probability</t>
  </si>
  <si>
    <t xml:space="preserve">  SECTION B  ·  Option Premiums  (Per Share &amp; Per Lot)</t>
  </si>
  <si>
    <t>Per Share (₹)</t>
  </si>
  <si>
    <t>Per Lot (₹)  [×Lot Size]</t>
  </si>
  <si>
    <t>📞  CALL Premium</t>
  </si>
  <si>
    <t>📉  PUT Premium</t>
  </si>
  <si>
    <t xml:space="preserve">  SECTION C  ·  Put-Call Parity Verification</t>
  </si>
  <si>
    <t>Check</t>
  </si>
  <si>
    <t>Value (₹)</t>
  </si>
  <si>
    <t>Notes</t>
  </si>
  <si>
    <t>LHS: Call − Put</t>
  </si>
  <si>
    <t>C11−C12</t>
  </si>
  <si>
    <t>RHS: S·e^(−qT) − X·e^(−rT)</t>
  </si>
  <si>
    <t>Forward minus PV(K)</t>
  </si>
  <si>
    <t>PCP Δ (should be ≈ 0)</t>
  </si>
  <si>
    <t>Error &lt; 0.01 ₹ = valid ✓</t>
  </si>
  <si>
    <t>🛡  Risk Analytics  —  Greeks Dashboard  |  NSE F&amp;O Derivatives</t>
  </si>
  <si>
    <t>Greek / Metric</t>
  </si>
  <si>
    <t>Per Share</t>
  </si>
  <si>
    <t>Position (×LotSize)</t>
  </si>
  <si>
    <t>△  Call Delta</t>
  </si>
  <si>
    <t>△  Put Delta</t>
  </si>
  <si>
    <t>Γ  Gamma</t>
  </si>
  <si>
    <t>V  Vega (per 1% vol)</t>
  </si>
  <si>
    <t>Θ  Call Theta (Daily)</t>
  </si>
  <si>
    <t>Θ  Put Theta (Daily)</t>
  </si>
  <si>
    <t>ρ  Call Rho (per 1%)</t>
  </si>
  <si>
    <t>ρ  Put Rho (per 1%)</t>
  </si>
  <si>
    <t>📊  Call Premium Sensitivity Matrix  —  Total Value Per Lot (₹)  |  Red=Low · Yellow=Mid · Green=High</t>
  </si>
  <si>
    <t>↖ Live Value (₹)</t>
  </si>
  <si>
    <t>🏦  Portfolio Hedging &amp; Risk Metrics  |  Indian Equity Portfolio Delta-Hedge</t>
  </si>
  <si>
    <t xml:space="preserve">  SECTION A  ·  Portfolio Parameters  (Blue = User Inputs)</t>
  </si>
  <si>
    <t>Description</t>
  </si>
  <si>
    <t>Portfolio Value (₹)</t>
  </si>
  <si>
    <t>₹1,00,00,000 = ₹1 Crore Indian equity portfolio</t>
  </si>
  <si>
    <t>Portfolio Beta  (β)</t>
  </si>
  <si>
    <t>Systematic risk vs NIFTY 50  (1.2 = 20% more volatile than index)</t>
  </si>
  <si>
    <t xml:space="preserve">  SECTION B  ·  Delta-Hedge Calculation  |  NIFTY 50 Put Options</t>
  </si>
  <si>
    <t>Source / Formula</t>
  </si>
  <si>
    <t>Put Delta (per share)</t>
  </si>
  <si>
    <t>Linked from Greeks sheet</t>
  </si>
  <si>
    <t>NIFTY Spot Price (₹)</t>
  </si>
  <si>
    <t>Linked from Market Data</t>
  </si>
  <si>
    <t>Beta-Adj Portfolio Value (₹)</t>
  </si>
  <si>
    <t>Portfolio Value × Beta</t>
  </si>
  <si>
    <t>✅  NIFTY Puts Required (Lots)</t>
  </si>
  <si>
    <t>ROUNDUP((PV×β)/(S×|Δp|×N),0)</t>
  </si>
  <si>
    <t>Total Hedge Cost (₹)</t>
  </si>
  <si>
    <t>Lots × Put Premium × Lot Size</t>
  </si>
  <si>
    <t>Hedge Cost as % of Portfolio</t>
  </si>
  <si>
    <t>Cost/Portfolio Value</t>
  </si>
  <si>
    <t xml:space="preserve">  SECTION C  ·  Portfolio Risk Metrics  |  Parametric VaR</t>
  </si>
  <si>
    <t>Risk Metric</t>
  </si>
  <si>
    <t>Method</t>
  </si>
  <si>
    <t>1-Day 99% VaR (Parametric, ₹)</t>
  </si>
  <si>
    <t>V×β×σ×√(1/252)×2.326</t>
  </si>
  <si>
    <t>10-Day 99% VaR (Basel Scale, ₹)</t>
  </si>
  <si>
    <t>1-Day VaR × √10</t>
  </si>
  <si>
    <t>Annualised Portfolio Volatility</t>
  </si>
  <si>
    <t>β × NIFTY σ</t>
  </si>
  <si>
    <t>Daily Break-Even Move (₹)</t>
  </si>
  <si>
    <t>S×σ×√(1/252)</t>
  </si>
  <si>
    <t>Probability</t>
  </si>
  <si>
    <r>
      <t xml:space="preserve">Model market mein </t>
    </r>
    <r>
      <rPr>
        <b/>
        <sz val="11"/>
        <color theme="1"/>
        <rFont val="Calibri"/>
        <family val="2"/>
        <charset val="1"/>
      </rPr>
      <t>thoda sa upside expectation</t>
    </r>
    <r>
      <rPr>
        <sz val="11"/>
        <color theme="1"/>
        <rFont val="Calibri"/>
        <family val="2"/>
        <charset val="1"/>
      </rPr>
      <t xml:space="preserve"> dekh raha hai, isi liye Call option ki value Put option se zyada aa rahi hai.</t>
    </r>
  </si>
  <si>
    <t>PnL Scenario Simulator</t>
  </si>
  <si>
    <t>Nifty Change (Points)</t>
  </si>
  <si>
    <t>VIX Change (%)</t>
  </si>
  <si>
    <t>Days Passed</t>
  </si>
  <si>
    <t>Delta Matrix (Spot vs Time to Maturity)</t>
  </si>
  <si>
    <t>Put Premium Matrix (Downside Risk)</t>
  </si>
  <si>
    <t>Gamma Matrix</t>
  </si>
  <si>
    <t>Agar NIFTY ₹1 move kare, to poore lot ka premium approx ₹27.45 move karega.</t>
  </si>
  <si>
    <t>Helper column</t>
  </si>
  <si>
    <t>PnL Attribution - Call</t>
  </si>
  <si>
    <t>PnL Attribution - Put</t>
  </si>
  <si>
    <t>PnL Contribution</t>
  </si>
  <si>
    <t>% of Total</t>
  </si>
  <si>
    <t>Total Call PnLAttribution</t>
  </si>
  <si>
    <t>Total Put PnLAttribution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</si>
</sst>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164" formatCode="[$₹]###,##0.00"/>
    <numFmt numFmtId="165" formatCode="0.000000"/>
    <numFmt numFmtId="166" formatCode="0.00000000"/>
    <numFmt numFmtId="167" formatCode="[$₹]###,##0"/>
    <numFmt numFmtId="168" formatCode="0.0000"/>
    <numFmt numFmtId="169" formatCode="\+0.0%;\-0.0%"/>
    <numFmt numFmtId="170" formatCode="0.00000"/>
    <numFmt numFmtId="171" formatCode="0.000"/>
    <numFmt numFmtId="173" formatCode="0.0%"/>
    <numFmt numFmtId="174" formatCode="\₹\ #,##0;\(\₹\ #,##0\)"/>
    <numFmt numFmtId="175" formatCode="\₹\ #,##0.00;\(\₹\ #,##0.00\)"/>
    <numFmt numFmtId="176" formatCode="\₹\ #,##0.000;\(\₹\ #,##0.000\)"/>
    <numFmt numFmtId="177" formatCode="0.0"/>
  </numFmts>
  <fonts count="29" x14ac:knownFonts="1">
    <font>
      <sz val="11"/>
      <color theme="1"/>
      <name val="Calibri"/>
      <family val="2"/>
      <charset val="1"/>
    </font>
    <font>
      <sz val="11"/>
      <color theme="1"/>
      <name val="Calibri"/>
      <family val="2"/>
    </font>
    <font>
      <sz val="11"/>
      <color theme="1"/>
      <name val="Calibri"/>
      <family val="2"/>
    </font>
    <font>
      <sz val="11"/>
      <color theme="1"/>
      <name val="Calibri"/>
      <family val="2"/>
    </font>
    <font>
      <b/>
      <sz val="14"/>
      <color rgb="FFFFFFFF"/>
      <name val="Calibri"/>
      <family val="2"/>
    </font>
    <font>
      <i/>
      <sz val="9"/>
      <color rgb="FF7F7F7F"/>
      <name val="Calibri"/>
      <family val="2"/>
    </font>
    <font>
      <b/>
      <sz val="11"/>
      <color rgb="FFFFFFFF"/>
      <name val="Calibri"/>
      <family val="2"/>
    </font>
    <font>
      <b/>
      <sz val="10"/>
      <color rgb="FF404040"/>
      <name val="Calibri"/>
      <family val="2"/>
    </font>
    <font>
      <sz val="11"/>
      <color rgb="FF0000FF"/>
      <name val="Calibri"/>
      <family val="2"/>
    </font>
    <font>
      <i/>
      <sz val="9"/>
      <color rgb="FF595959"/>
      <name val="Calibri"/>
      <family val="2"/>
    </font>
    <font>
      <b/>
      <sz val="13"/>
      <color rgb="FFFFFFFF"/>
      <name val="Calibri"/>
      <family val="2"/>
    </font>
    <font>
      <sz val="11"/>
      <color rgb="FF000000"/>
      <name val="Calibri"/>
      <family val="2"/>
    </font>
    <font>
      <b/>
      <i/>
      <sz val="11"/>
      <color theme="1"/>
      <name val="Calibri"/>
      <family val="2"/>
    </font>
    <font>
      <sz val="9"/>
      <color indexed="81"/>
      <name val="Tahoma"/>
      <family val="2"/>
    </font>
    <font>
      <b/>
      <sz val="9"/>
      <color indexed="81"/>
      <name val="Tahoma"/>
      <family val="2"/>
    </font>
    <font>
      <b/>
      <sz val="11"/>
      <color theme="1"/>
      <name val="Calibri"/>
      <family val="2"/>
      <charset val="1"/>
    </font>
    <font>
      <b/>
      <sz val="13"/>
      <color rgb="FFFFFFFF"/>
      <name val="Calibri"/>
      <family val="2"/>
      <scheme val="minor"/>
    </font>
    <font>
      <sz val="11"/>
      <color theme="1"/>
      <name val="Calibri"/>
      <family val="2"/>
      <scheme val="minor"/>
    </font>
    <font>
      <b/>
      <sz val="11"/>
      <color rgb="FFFFFFFF"/>
      <name val="Calibri"/>
      <family val="2"/>
      <scheme val="minor"/>
    </font>
    <font>
      <b/>
      <sz val="10"/>
      <color rgb="FF404040"/>
      <name val="Calibri"/>
      <family val="2"/>
      <scheme val="minor"/>
    </font>
    <font>
      <sz val="11"/>
      <color rgb="FF000000"/>
      <name val="Calibri"/>
      <family val="2"/>
      <scheme val="minor"/>
    </font>
    <font>
      <b/>
      <sz val="11"/>
      <color theme="1"/>
      <name val="Calibri"/>
      <family val="2"/>
      <scheme val="minor"/>
    </font>
    <font>
      <b/>
      <sz val="16"/>
      <color theme="0"/>
      <name val="Calibri"/>
      <family val="2"/>
    </font>
    <font>
      <sz val="11"/>
      <color rgb="FF008000"/>
      <name val="Calibri"/>
      <family val="2"/>
    </font>
    <font>
      <b/>
      <sz val="11"/>
      <color rgb="FF1F3864"/>
      <name val="Calibri"/>
      <family val="2"/>
    </font>
    <font>
      <b/>
      <sz val="9"/>
      <color rgb="FF1F3864"/>
      <name val="Calibri"/>
      <family val="2"/>
    </font>
    <font>
      <b/>
      <sz val="12"/>
      <color rgb="FFFFFFFF"/>
      <name val="Calibri"/>
      <family val="2"/>
    </font>
    <font>
      <b/>
      <sz val="12"/>
      <color theme="1"/>
      <name val="Calibri"/>
      <family val="2"/>
      <scheme val="minor"/>
    </font>
    <font>
      <b/>
      <sz val="16"/>
      <color rgb="FFFFFFFF"/>
      <name val="Calibri"/>
      <family val="2"/>
    </font>
  </fonts>
  <fills count="10">
    <fill>
      <patternFill patternType="none"/>
    </fill>
    <fill>
      <patternFill patternType="gray125"/>
    </fill>
    <fill>
      <patternFill patternType="solid">
        <fgColor rgb="FF1F3864"/>
        <bgColor rgb="FF333399"/>
      </patternFill>
    </fill>
    <fill>
      <patternFill patternType="solid">
        <fgColor rgb="FF2E75B6"/>
        <bgColor rgb="FF0066CC"/>
      </patternFill>
    </fill>
    <fill>
      <patternFill patternType="solid">
        <fgColor rgb="FFE2EFDA"/>
        <bgColor rgb="FFEBF3FB"/>
      </patternFill>
    </fill>
    <fill>
      <patternFill patternType="solid">
        <fgColor rgb="FFFDECEA"/>
        <bgColor rgb="FFFFF2CC"/>
      </patternFill>
    </fill>
    <fill>
      <patternFill patternType="solid">
        <fgColor rgb="FFEBF3FB"/>
        <bgColor rgb="FFE2EFDA"/>
      </patternFill>
    </fill>
    <fill>
      <patternFill patternType="solid">
        <fgColor rgb="FFFFFFFF"/>
        <bgColor rgb="FFEBF3FB"/>
      </patternFill>
    </fill>
    <fill>
      <patternFill patternType="solid">
        <fgColor rgb="FFFFF2CC"/>
        <bgColor rgb="FFFDECEA"/>
      </patternFill>
    </fill>
    <fill>
      <patternFill patternType="solid">
        <fgColor rgb="FF002060"/>
        <bgColor indexed="64"/>
      </patternFill>
    </fill>
  </fills>
  <borders count="18">
    <border>
      <left/>
      <right/>
      <top/>
      <bottom/>
      <diagonal/>
    </border>
    <border>
      <left style="medium">
        <color rgb="FF1F3864"/>
      </left>
      <right style="medium">
        <color rgb="FF1F3864"/>
      </right>
      <top style="medium">
        <color rgb="FF1F3864"/>
      </top>
      <bottom style="thin">
        <color rgb="FFBFBFBF"/>
      </bottom>
      <diagonal/>
    </border>
    <border>
      <left style="medium">
        <color rgb="FF1F3864"/>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medium">
        <color rgb="FF1F3864"/>
      </right>
      <top style="thin">
        <color rgb="FFBFBFBF"/>
      </top>
      <bottom style="thin">
        <color rgb="FFBFBFBF"/>
      </bottom>
      <diagonal/>
    </border>
    <border>
      <left style="medium">
        <color rgb="FF1F3864"/>
      </left>
      <right style="thin">
        <color rgb="FFBFBFBF"/>
      </right>
      <top style="thin">
        <color rgb="FFBFBFBF"/>
      </top>
      <bottom style="medium">
        <color rgb="FF1F3864"/>
      </bottom>
      <diagonal/>
    </border>
    <border>
      <left style="thin">
        <color rgb="FFBFBFBF"/>
      </left>
      <right style="thin">
        <color rgb="FFBFBFBF"/>
      </right>
      <top style="thin">
        <color rgb="FFBFBFBF"/>
      </top>
      <bottom style="medium">
        <color rgb="FF1F3864"/>
      </bottom>
      <diagonal/>
    </border>
    <border>
      <left style="thin">
        <color rgb="FFBFBFBF"/>
      </left>
      <right style="medium">
        <color rgb="FF1F3864"/>
      </right>
      <top style="thin">
        <color rgb="FFBFBFBF"/>
      </top>
      <bottom style="medium">
        <color rgb="FF1F3864"/>
      </bottom>
      <diagonal/>
    </border>
    <border>
      <left style="medium">
        <color rgb="FF1F3864"/>
      </left>
      <right style="thin">
        <color rgb="FFBFBFBF"/>
      </right>
      <top style="medium">
        <color rgb="FF1F3864"/>
      </top>
      <bottom style="thin">
        <color rgb="FFBFBFBF"/>
      </bottom>
      <diagonal/>
    </border>
    <border>
      <left style="thin">
        <color rgb="FFBFBFBF"/>
      </left>
      <right style="thin">
        <color rgb="FFBFBFBF"/>
      </right>
      <top style="medium">
        <color rgb="FF1F3864"/>
      </top>
      <bottom style="thin">
        <color rgb="FFBFBFBF"/>
      </bottom>
      <diagonal/>
    </border>
    <border>
      <left style="thin">
        <color rgb="FFBFBFBF"/>
      </left>
      <right style="medium">
        <color rgb="FF1F3864"/>
      </right>
      <top style="medium">
        <color rgb="FF1F3864"/>
      </top>
      <bottom style="thin">
        <color rgb="FFBFBFBF"/>
      </bottom>
      <diagonal/>
    </border>
    <border>
      <left style="medium">
        <color rgb="FF1F3864"/>
      </left>
      <right style="medium">
        <color rgb="FF1F3864"/>
      </right>
      <top style="thin">
        <color rgb="FFBFBFBF"/>
      </top>
      <bottom style="thin">
        <color rgb="FFBFBFBF"/>
      </bottom>
      <diagonal/>
    </border>
    <border>
      <left style="thin">
        <color rgb="FFBFBFBF"/>
      </left>
      <right style="thin">
        <color rgb="FFBFBFBF"/>
      </right>
      <top style="thin">
        <color rgb="FFBFBFBF"/>
      </top>
      <bottom style="medium">
        <color theme="3" tint="-0.499984740745262"/>
      </bottom>
      <diagonal/>
    </border>
    <border>
      <left style="medium">
        <color rgb="FF1F3864"/>
      </left>
      <right style="thin">
        <color rgb="FFBFBFBF"/>
      </right>
      <top style="thin">
        <color rgb="FFBFBFBF"/>
      </top>
      <bottom/>
      <diagonal/>
    </border>
    <border>
      <left style="medium">
        <color rgb="FF1F3864"/>
      </left>
      <right style="thin">
        <color rgb="FFBFBFBF"/>
      </right>
      <top style="thin">
        <color theme="0" tint="-0.34998626667073579"/>
      </top>
      <bottom/>
      <diagonal/>
    </border>
    <border>
      <left style="medium">
        <color rgb="FF002060"/>
      </left>
      <right style="thin">
        <color rgb="FFBFBFBF"/>
      </right>
      <top style="thin">
        <color rgb="FFBFBFBF"/>
      </top>
      <bottom style="medium">
        <color rgb="FF1F3864"/>
      </bottom>
      <diagonal/>
    </border>
    <border>
      <left style="medium">
        <color rgb="FF002060"/>
      </left>
      <right style="thin">
        <color rgb="FFBFBFBF"/>
      </right>
      <top style="thin">
        <color rgb="FFBFBFBF"/>
      </top>
      <bottom style="thin">
        <color rgb="FFBFBFBF"/>
      </bottom>
      <diagonal/>
    </border>
    <border>
      <left style="thin">
        <color rgb="FFBFBFBF"/>
      </left>
      <right/>
      <top/>
      <bottom/>
      <diagonal/>
    </border>
  </borders>
  <cellStyleXfs count="1">
    <xf numFmtId="0" fontId="0" fillId="0" borderId="0"/>
  </cellStyleXfs>
  <cellXfs count="147">
    <xf numFmtId="0" fontId="0" fillId="0" borderId="0" xfId="0"/>
    <xf numFmtId="0" fontId="3" fillId="0" borderId="0" xfId="0" applyFont="1"/>
    <xf numFmtId="0" fontId="6" fillId="2" borderId="8" xfId="0" applyFont="1" applyFill="1" applyBorder="1" applyAlignment="1">
      <alignment horizontal="center" vertical="center"/>
    </xf>
    <xf numFmtId="0" fontId="6" fillId="2" borderId="9" xfId="0" applyFont="1" applyFill="1" applyBorder="1" applyAlignment="1">
      <alignment horizontal="center" vertical="center"/>
    </xf>
    <xf numFmtId="0" fontId="6" fillId="3" borderId="10" xfId="0" applyFont="1" applyFill="1" applyBorder="1" applyAlignment="1">
      <alignment horizontal="center" vertical="center"/>
    </xf>
    <xf numFmtId="0" fontId="7" fillId="6" borderId="2" xfId="0" applyFont="1" applyFill="1" applyBorder="1" applyAlignment="1">
      <alignment horizontal="left" vertical="center"/>
    </xf>
    <xf numFmtId="167" fontId="8" fillId="6" borderId="3" xfId="0" applyNumberFormat="1" applyFont="1" applyFill="1" applyBorder="1" applyAlignment="1">
      <alignment horizontal="right" vertical="center"/>
    </xf>
    <xf numFmtId="0" fontId="9" fillId="6" borderId="4" xfId="0" applyFont="1" applyFill="1" applyBorder="1" applyAlignment="1">
      <alignment horizontal="left" vertical="center" wrapText="1"/>
    </xf>
    <xf numFmtId="0" fontId="7" fillId="7" borderId="2" xfId="0" applyFont="1" applyFill="1" applyBorder="1" applyAlignment="1">
      <alignment horizontal="left" vertical="center"/>
    </xf>
    <xf numFmtId="0" fontId="9" fillId="7" borderId="4" xfId="0" applyFont="1" applyFill="1" applyBorder="1" applyAlignment="1">
      <alignment horizontal="left" vertical="center" wrapText="1"/>
    </xf>
    <xf numFmtId="10" fontId="8" fillId="6" borderId="3" xfId="0" applyNumberFormat="1" applyFont="1" applyFill="1" applyBorder="1" applyAlignment="1">
      <alignment horizontal="right" vertical="center"/>
    </xf>
    <xf numFmtId="0" fontId="7" fillId="6" borderId="5" xfId="0" applyFont="1" applyFill="1" applyBorder="1" applyAlignment="1">
      <alignment horizontal="left" vertical="center"/>
    </xf>
    <xf numFmtId="3" fontId="8" fillId="6" borderId="6" xfId="0" applyNumberFormat="1" applyFont="1" applyFill="1" applyBorder="1" applyAlignment="1">
      <alignment horizontal="right" vertical="center"/>
    </xf>
    <xf numFmtId="0" fontId="9" fillId="6" borderId="7" xfId="0" applyFont="1" applyFill="1" applyBorder="1" applyAlignment="1">
      <alignment horizontal="left"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3" fillId="0" borderId="0" xfId="0" applyFont="1" applyAlignment="1">
      <alignment vertical="top" wrapText="1"/>
    </xf>
    <xf numFmtId="165" fontId="3" fillId="0" borderId="0" xfId="0" applyNumberFormat="1" applyFont="1" applyAlignment="1">
      <alignment vertical="top" wrapText="1"/>
    </xf>
    <xf numFmtId="0" fontId="3" fillId="0" borderId="5" xfId="0" applyFont="1" applyBorder="1"/>
    <xf numFmtId="0" fontId="3" fillId="0" borderId="6" xfId="0" applyFont="1" applyBorder="1"/>
    <xf numFmtId="0" fontId="3" fillId="0" borderId="7" xfId="0" applyFont="1" applyBorder="1"/>
    <xf numFmtId="165" fontId="3" fillId="0" borderId="0" xfId="0" applyNumberFormat="1" applyFont="1"/>
    <xf numFmtId="0" fontId="7" fillId="4" borderId="2" xfId="0" applyFont="1" applyFill="1" applyBorder="1" applyAlignment="1">
      <alignment horizontal="left" vertical="center"/>
    </xf>
    <xf numFmtId="164" fontId="11" fillId="4" borderId="4" xfId="0" applyNumberFormat="1" applyFont="1" applyFill="1" applyBorder="1" applyAlignment="1">
      <alignment horizontal="right" vertical="center"/>
    </xf>
    <xf numFmtId="0" fontId="7" fillId="5" borderId="5" xfId="0" applyFont="1" applyFill="1" applyBorder="1" applyAlignment="1">
      <alignment horizontal="left" vertical="center"/>
    </xf>
    <xf numFmtId="164" fontId="11" fillId="5" borderId="6" xfId="0" applyNumberFormat="1" applyFont="1" applyFill="1" applyBorder="1" applyAlignment="1">
      <alignment horizontal="right" vertical="center"/>
    </xf>
    <xf numFmtId="164" fontId="11" fillId="5" borderId="7" xfId="0" applyNumberFormat="1" applyFont="1" applyFill="1" applyBorder="1" applyAlignment="1">
      <alignment horizontal="right" vertical="center"/>
    </xf>
    <xf numFmtId="164" fontId="11" fillId="7" borderId="3" xfId="0" applyNumberFormat="1" applyFont="1" applyFill="1" applyBorder="1" applyAlignment="1">
      <alignment horizontal="right" vertical="center"/>
    </xf>
    <xf numFmtId="0" fontId="5" fillId="7" borderId="4" xfId="0" applyFont="1" applyFill="1" applyBorder="1" applyAlignment="1">
      <alignment horizontal="left" vertical="center"/>
    </xf>
    <xf numFmtId="164" fontId="11" fillId="6" borderId="3" xfId="0" applyNumberFormat="1" applyFont="1" applyFill="1" applyBorder="1" applyAlignment="1">
      <alignment horizontal="right" vertical="center"/>
    </xf>
    <xf numFmtId="0" fontId="5" fillId="6" borderId="4" xfId="0" applyFont="1" applyFill="1" applyBorder="1" applyAlignment="1">
      <alignment horizontal="left" vertical="center"/>
    </xf>
    <xf numFmtId="0" fontId="7" fillId="7" borderId="5" xfId="0" applyFont="1" applyFill="1" applyBorder="1" applyAlignment="1">
      <alignment horizontal="left" vertical="center"/>
    </xf>
    <xf numFmtId="164" fontId="11" fillId="7" borderId="6" xfId="0" applyNumberFormat="1" applyFont="1" applyFill="1" applyBorder="1" applyAlignment="1">
      <alignment horizontal="right" vertical="center"/>
    </xf>
    <xf numFmtId="0" fontId="5" fillId="7" borderId="7" xfId="0" applyFont="1" applyFill="1" applyBorder="1" applyAlignment="1">
      <alignment horizontal="left" vertical="center"/>
    </xf>
    <xf numFmtId="168" fontId="11" fillId="6" borderId="3" xfId="0" applyNumberFormat="1" applyFont="1" applyFill="1" applyBorder="1" applyAlignment="1">
      <alignment horizontal="right" vertical="center"/>
    </xf>
    <xf numFmtId="168" fontId="11" fillId="7" borderId="3" xfId="0" applyNumberFormat="1" applyFont="1" applyFill="1" applyBorder="1" applyAlignment="1">
      <alignment horizontal="right" vertical="center"/>
    </xf>
    <xf numFmtId="10" fontId="12" fillId="6" borderId="4" xfId="0" applyNumberFormat="1" applyFont="1" applyFill="1" applyBorder="1" applyAlignment="1">
      <alignment vertical="center"/>
    </xf>
    <xf numFmtId="9" fontId="3" fillId="0" borderId="0" xfId="0" applyNumberFormat="1" applyFont="1"/>
    <xf numFmtId="0" fontId="17" fillId="0" borderId="0" xfId="0" applyFont="1"/>
    <xf numFmtId="0" fontId="18" fillId="3" borderId="8" xfId="0" applyFont="1" applyFill="1" applyBorder="1" applyAlignment="1">
      <alignment horizontal="center" vertical="center" wrapText="1"/>
    </xf>
    <xf numFmtId="0" fontId="18" fillId="3" borderId="9" xfId="0" applyFont="1" applyFill="1" applyBorder="1" applyAlignment="1">
      <alignment horizontal="center" vertical="center" wrapText="1"/>
    </xf>
    <xf numFmtId="0" fontId="19" fillId="4" borderId="2" xfId="0" applyFont="1" applyFill="1" applyBorder="1" applyAlignment="1">
      <alignment horizontal="left" vertical="center"/>
    </xf>
    <xf numFmtId="165" fontId="20" fillId="4" borderId="3" xfId="0" applyNumberFormat="1" applyFont="1" applyFill="1" applyBorder="1" applyAlignment="1">
      <alignment horizontal="right" vertical="center"/>
    </xf>
    <xf numFmtId="165" fontId="17" fillId="0" borderId="0" xfId="0" applyNumberFormat="1" applyFont="1"/>
    <xf numFmtId="0" fontId="19" fillId="5" borderId="2" xfId="0" applyFont="1" applyFill="1" applyBorder="1" applyAlignment="1">
      <alignment horizontal="left" vertical="center"/>
    </xf>
    <xf numFmtId="165" fontId="20" fillId="5" borderId="3" xfId="0" applyNumberFormat="1" applyFont="1" applyFill="1" applyBorder="1" applyAlignment="1">
      <alignment horizontal="right" vertical="center"/>
    </xf>
    <xf numFmtId="0" fontId="19" fillId="6" borderId="2" xfId="0" applyFont="1" applyFill="1" applyBorder="1" applyAlignment="1">
      <alignment horizontal="left" vertical="center"/>
    </xf>
    <xf numFmtId="0" fontId="19" fillId="7" borderId="2" xfId="0" applyFont="1" applyFill="1" applyBorder="1" applyAlignment="1">
      <alignment horizontal="left" vertical="center"/>
    </xf>
    <xf numFmtId="164" fontId="20" fillId="7" borderId="3" xfId="0" applyNumberFormat="1" applyFont="1" applyFill="1" applyBorder="1" applyAlignment="1">
      <alignment horizontal="right" vertical="center"/>
    </xf>
    <xf numFmtId="164" fontId="20" fillId="4" borderId="3" xfId="0" applyNumberFormat="1" applyFont="1" applyFill="1" applyBorder="1" applyAlignment="1">
      <alignment horizontal="right" vertical="center"/>
    </xf>
    <xf numFmtId="164" fontId="20" fillId="5" borderId="3" xfId="0" applyNumberFormat="1" applyFont="1" applyFill="1" applyBorder="1" applyAlignment="1">
      <alignment horizontal="right" vertical="center"/>
    </xf>
    <xf numFmtId="164" fontId="20" fillId="6" borderId="3" xfId="0" applyNumberFormat="1" applyFont="1" applyFill="1" applyBorder="1" applyAlignment="1">
      <alignment horizontal="right" vertical="center"/>
    </xf>
    <xf numFmtId="0" fontId="19" fillId="7" borderId="5" xfId="0" applyFont="1" applyFill="1" applyBorder="1" applyAlignment="1">
      <alignment horizontal="left" vertical="center"/>
    </xf>
    <xf numFmtId="164" fontId="20" fillId="7" borderId="6" xfId="0" applyNumberFormat="1" applyFont="1" applyFill="1" applyBorder="1" applyAlignment="1">
      <alignment horizontal="right" vertical="center"/>
    </xf>
    <xf numFmtId="170" fontId="20" fillId="6" borderId="3" xfId="0" applyNumberFormat="1" applyFont="1" applyFill="1" applyBorder="1" applyAlignment="1">
      <alignment horizontal="right" vertical="center"/>
    </xf>
    <xf numFmtId="171" fontId="17" fillId="0" borderId="0" xfId="0" applyNumberFormat="1" applyFont="1"/>
    <xf numFmtId="2" fontId="17" fillId="0" borderId="0" xfId="0" applyNumberFormat="1" applyFont="1"/>
    <xf numFmtId="171" fontId="20" fillId="4" borderId="3" xfId="0" applyNumberFormat="1" applyFont="1" applyFill="1" applyBorder="1" applyAlignment="1">
      <alignment horizontal="right" vertical="center"/>
    </xf>
    <xf numFmtId="171" fontId="20" fillId="4" borderId="12" xfId="0" applyNumberFormat="1" applyFont="1" applyFill="1" applyBorder="1" applyAlignment="1">
      <alignment horizontal="right" vertical="center"/>
    </xf>
    <xf numFmtId="2" fontId="8" fillId="6" borderId="3" xfId="0" applyNumberFormat="1" applyFont="1" applyFill="1" applyBorder="1" applyAlignment="1">
      <alignment horizontal="right" vertical="center"/>
    </xf>
    <xf numFmtId="0" fontId="22" fillId="9" borderId="0" xfId="0" applyFont="1" applyFill="1"/>
    <xf numFmtId="0" fontId="2" fillId="0" borderId="0" xfId="0" applyFont="1"/>
    <xf numFmtId="0" fontId="9" fillId="6" borderId="4" xfId="0" applyFont="1" applyFill="1" applyBorder="1" applyAlignment="1">
      <alignment horizontal="left" vertical="center"/>
    </xf>
    <xf numFmtId="0" fontId="9" fillId="7" borderId="4" xfId="0" applyFont="1" applyFill="1" applyBorder="1" applyAlignment="1">
      <alignment horizontal="left" vertical="center"/>
    </xf>
    <xf numFmtId="0" fontId="2" fillId="0" borderId="2" xfId="0" applyFont="1" applyBorder="1"/>
    <xf numFmtId="0" fontId="2" fillId="0" borderId="3" xfId="0" applyFont="1" applyBorder="1"/>
    <xf numFmtId="0" fontId="2" fillId="0" borderId="4" xfId="0" applyFont="1" applyBorder="1"/>
    <xf numFmtId="165" fontId="23" fillId="6" borderId="3" xfId="0" applyNumberFormat="1" applyFont="1" applyFill="1" applyBorder="1" applyAlignment="1">
      <alignment horizontal="right" vertical="center"/>
    </xf>
    <xf numFmtId="167" fontId="23" fillId="7" borderId="3" xfId="0" applyNumberFormat="1" applyFont="1" applyFill="1" applyBorder="1" applyAlignment="1">
      <alignment horizontal="right" vertical="center"/>
    </xf>
    <xf numFmtId="3" fontId="23" fillId="6" borderId="3" xfId="0" applyNumberFormat="1" applyFont="1" applyFill="1" applyBorder="1" applyAlignment="1">
      <alignment horizontal="right" vertical="center"/>
    </xf>
    <xf numFmtId="167" fontId="11" fillId="7" borderId="3" xfId="0" applyNumberFormat="1" applyFont="1" applyFill="1" applyBorder="1" applyAlignment="1">
      <alignment horizontal="right" vertical="center"/>
    </xf>
    <xf numFmtId="0" fontId="24" fillId="8" borderId="2" xfId="0" applyFont="1" applyFill="1" applyBorder="1" applyAlignment="1">
      <alignment horizontal="left" vertical="center"/>
    </xf>
    <xf numFmtId="3" fontId="11" fillId="8" borderId="3" xfId="0" applyNumberFormat="1" applyFont="1" applyFill="1" applyBorder="1" applyAlignment="1">
      <alignment horizontal="right" vertical="center"/>
    </xf>
    <xf numFmtId="0" fontId="5" fillId="8" borderId="4" xfId="0" applyFont="1" applyFill="1" applyBorder="1" applyAlignment="1">
      <alignment horizontal="left" vertical="center"/>
    </xf>
    <xf numFmtId="0" fontId="7" fillId="5" borderId="2" xfId="0" applyFont="1" applyFill="1" applyBorder="1" applyAlignment="1">
      <alignment horizontal="left" vertical="center"/>
    </xf>
    <xf numFmtId="167" fontId="11" fillId="5" borderId="3" xfId="0" applyNumberFormat="1" applyFont="1" applyFill="1" applyBorder="1" applyAlignment="1">
      <alignment horizontal="right" vertical="center"/>
    </xf>
    <xf numFmtId="0" fontId="5" fillId="5" borderId="4" xfId="0" applyFont="1" applyFill="1" applyBorder="1" applyAlignment="1">
      <alignment horizontal="left" vertical="center"/>
    </xf>
    <xf numFmtId="10" fontId="11" fillId="6" borderId="6" xfId="0" applyNumberFormat="1" applyFont="1" applyFill="1" applyBorder="1" applyAlignment="1">
      <alignment horizontal="right" vertical="center"/>
    </xf>
    <xf numFmtId="0" fontId="5" fillId="6" borderId="7" xfId="0" applyFont="1" applyFill="1" applyBorder="1" applyAlignment="1">
      <alignment horizontal="left" vertical="center"/>
    </xf>
    <xf numFmtId="167" fontId="11" fillId="6" borderId="3" xfId="0" applyNumberFormat="1" applyFont="1" applyFill="1" applyBorder="1" applyAlignment="1">
      <alignment horizontal="right" vertical="center"/>
    </xf>
    <xf numFmtId="10" fontId="11" fillId="6" borderId="3" xfId="0" applyNumberFormat="1" applyFont="1" applyFill="1" applyBorder="1" applyAlignment="1">
      <alignment horizontal="right" vertical="center"/>
    </xf>
    <xf numFmtId="167" fontId="11" fillId="7" borderId="6" xfId="0" applyNumberFormat="1" applyFont="1" applyFill="1" applyBorder="1" applyAlignment="1">
      <alignment horizontal="right" vertical="center"/>
    </xf>
    <xf numFmtId="0" fontId="25" fillId="0" borderId="0" xfId="0" applyFont="1" applyAlignment="1">
      <alignment horizontal="center"/>
    </xf>
    <xf numFmtId="167" fontId="26" fillId="2" borderId="8" xfId="0" applyNumberFormat="1" applyFont="1" applyFill="1" applyBorder="1" applyAlignment="1">
      <alignment horizontal="center" vertical="center" wrapText="1"/>
    </xf>
    <xf numFmtId="9" fontId="6" fillId="3" borderId="9" xfId="0" applyNumberFormat="1" applyFont="1" applyFill="1" applyBorder="1" applyAlignment="1">
      <alignment horizontal="center" vertical="center"/>
    </xf>
    <xf numFmtId="9" fontId="6" fillId="3" borderId="10" xfId="0" applyNumberFormat="1" applyFont="1" applyFill="1" applyBorder="1" applyAlignment="1">
      <alignment horizontal="center" vertical="center"/>
    </xf>
    <xf numFmtId="174" fontId="6" fillId="3" borderId="2" xfId="0" applyNumberFormat="1" applyFont="1" applyFill="1" applyBorder="1" applyAlignment="1">
      <alignment horizontal="right" vertical="center"/>
    </xf>
    <xf numFmtId="174" fontId="11" fillId="0" borderId="3" xfId="0" applyNumberFormat="1" applyFont="1" applyBorder="1" applyAlignment="1">
      <alignment horizontal="right" vertical="center"/>
    </xf>
    <xf numFmtId="174" fontId="11" fillId="0" borderId="4" xfId="0" applyNumberFormat="1" applyFont="1" applyBorder="1" applyAlignment="1">
      <alignment horizontal="right" vertical="center"/>
    </xf>
    <xf numFmtId="173" fontId="2" fillId="0" borderId="0" xfId="0" applyNumberFormat="1" applyFont="1"/>
    <xf numFmtId="174" fontId="6" fillId="3" borderId="5" xfId="0" applyNumberFormat="1" applyFont="1" applyFill="1" applyBorder="1" applyAlignment="1">
      <alignment horizontal="right" vertical="center"/>
    </xf>
    <xf numFmtId="174" fontId="11" fillId="0" borderId="6" xfId="0" applyNumberFormat="1" applyFont="1" applyBorder="1" applyAlignment="1">
      <alignment horizontal="right" vertical="center"/>
    </xf>
    <xf numFmtId="174" fontId="11" fillId="0" borderId="7" xfId="0" applyNumberFormat="1" applyFont="1" applyBorder="1" applyAlignment="1">
      <alignment horizontal="right" vertical="center"/>
    </xf>
    <xf numFmtId="2" fontId="26" fillId="2" borderId="8" xfId="0" applyNumberFormat="1" applyFont="1" applyFill="1" applyBorder="1" applyAlignment="1">
      <alignment horizontal="center" vertical="center" wrapText="1"/>
    </xf>
    <xf numFmtId="2" fontId="6" fillId="3" borderId="9" xfId="0" applyNumberFormat="1" applyFont="1" applyFill="1" applyBorder="1" applyAlignment="1">
      <alignment horizontal="center" vertical="center"/>
    </xf>
    <xf numFmtId="171" fontId="6" fillId="3" borderId="9" xfId="0" applyNumberFormat="1" applyFont="1" applyFill="1" applyBorder="1" applyAlignment="1">
      <alignment horizontal="center" vertical="center"/>
    </xf>
    <xf numFmtId="175" fontId="11" fillId="0" borderId="3" xfId="0" applyNumberFormat="1" applyFont="1" applyBorder="1" applyAlignment="1">
      <alignment horizontal="right" vertical="center"/>
    </xf>
    <xf numFmtId="174" fontId="6" fillId="3" borderId="13" xfId="0" applyNumberFormat="1" applyFont="1" applyFill="1" applyBorder="1" applyAlignment="1">
      <alignment horizontal="right" vertical="center"/>
    </xf>
    <xf numFmtId="174" fontId="6" fillId="3" borderId="14" xfId="0" applyNumberFormat="1" applyFont="1" applyFill="1" applyBorder="1" applyAlignment="1">
      <alignment horizontal="right" vertical="center"/>
    </xf>
    <xf numFmtId="171" fontId="26" fillId="2" borderId="8" xfId="0" applyNumberFormat="1" applyFont="1" applyFill="1" applyBorder="1" applyAlignment="1">
      <alignment horizontal="center" vertical="center" wrapText="1"/>
    </xf>
    <xf numFmtId="176" fontId="11" fillId="0" borderId="3" xfId="0" applyNumberFormat="1" applyFont="1" applyBorder="1" applyAlignment="1">
      <alignment horizontal="right" vertical="center"/>
    </xf>
    <xf numFmtId="0" fontId="27" fillId="0" borderId="0" xfId="0" applyFont="1"/>
    <xf numFmtId="164" fontId="23" fillId="4" borderId="3" xfId="0" applyNumberFormat="1" applyFont="1" applyFill="1" applyBorder="1" applyAlignment="1">
      <alignment horizontal="right" vertical="center"/>
    </xf>
    <xf numFmtId="164" fontId="23" fillId="5" borderId="3" xfId="0" applyNumberFormat="1" applyFont="1" applyFill="1" applyBorder="1" applyAlignment="1">
      <alignment horizontal="right" vertical="center"/>
    </xf>
    <xf numFmtId="164" fontId="23" fillId="5" borderId="4" xfId="0" applyNumberFormat="1" applyFont="1" applyFill="1" applyBorder="1" applyAlignment="1">
      <alignment horizontal="right" vertical="center"/>
    </xf>
    <xf numFmtId="165" fontId="23" fillId="4" borderId="3" xfId="0" applyNumberFormat="1" applyFont="1" applyFill="1" applyBorder="1" applyAlignment="1">
      <alignment horizontal="right" vertical="center"/>
    </xf>
    <xf numFmtId="165" fontId="23" fillId="5" borderId="3" xfId="0" applyNumberFormat="1" applyFont="1" applyFill="1" applyBorder="1" applyAlignment="1">
      <alignment horizontal="right" vertical="center"/>
    </xf>
    <xf numFmtId="165" fontId="23" fillId="5" borderId="4" xfId="0" applyNumberFormat="1" applyFont="1" applyFill="1" applyBorder="1" applyAlignment="1">
      <alignment horizontal="right" vertical="center"/>
    </xf>
    <xf numFmtId="166" fontId="23" fillId="6" borderId="3" xfId="0" applyNumberFormat="1" applyFont="1" applyFill="1" applyBorder="1" applyAlignment="1">
      <alignment horizontal="right" vertical="center"/>
    </xf>
    <xf numFmtId="166" fontId="23" fillId="6" borderId="4" xfId="0" applyNumberFormat="1" applyFont="1" applyFill="1" applyBorder="1" applyAlignment="1">
      <alignment horizontal="right" vertical="center"/>
    </xf>
    <xf numFmtId="164" fontId="23" fillId="7" borderId="3" xfId="0" applyNumberFormat="1" applyFont="1" applyFill="1" applyBorder="1" applyAlignment="1">
      <alignment horizontal="right" vertical="center"/>
    </xf>
    <xf numFmtId="164" fontId="23" fillId="7" borderId="4" xfId="0" applyNumberFormat="1" applyFont="1" applyFill="1" applyBorder="1" applyAlignment="1">
      <alignment horizontal="right" vertical="center"/>
    </xf>
    <xf numFmtId="0" fontId="7" fillId="4" borderId="5" xfId="0" applyFont="1" applyFill="1" applyBorder="1" applyAlignment="1">
      <alignment horizontal="left" vertical="center"/>
    </xf>
    <xf numFmtId="164" fontId="23" fillId="4" borderId="6" xfId="0" applyNumberFormat="1" applyFont="1" applyFill="1" applyBorder="1" applyAlignment="1">
      <alignment horizontal="right" vertical="center"/>
    </xf>
    <xf numFmtId="164" fontId="23" fillId="5" borderId="6" xfId="0" applyNumberFormat="1" applyFont="1" applyFill="1" applyBorder="1" applyAlignment="1">
      <alignment horizontal="right" vertical="center"/>
    </xf>
    <xf numFmtId="164" fontId="23" fillId="5" borderId="7" xfId="0" applyNumberFormat="1" applyFont="1" applyFill="1" applyBorder="1" applyAlignment="1">
      <alignment horizontal="right" vertical="center"/>
    </xf>
    <xf numFmtId="167" fontId="23" fillId="6" borderId="5" xfId="0" applyNumberFormat="1" applyFont="1" applyFill="1" applyBorder="1" applyAlignment="1">
      <alignment horizontal="right" vertical="center"/>
    </xf>
    <xf numFmtId="167" fontId="23" fillId="6" borderId="6" xfId="0" applyNumberFormat="1" applyFont="1" applyFill="1" applyBorder="1" applyAlignment="1">
      <alignment horizontal="right" vertical="center"/>
    </xf>
    <xf numFmtId="168" fontId="23" fillId="6" borderId="6" xfId="0" applyNumberFormat="1" applyFont="1" applyFill="1" applyBorder="1" applyAlignment="1">
      <alignment horizontal="right" vertical="center"/>
    </xf>
    <xf numFmtId="10" fontId="23" fillId="6" borderId="6" xfId="0" applyNumberFormat="1" applyFont="1" applyFill="1" applyBorder="1" applyAlignment="1">
      <alignment horizontal="right" vertical="center"/>
    </xf>
    <xf numFmtId="10" fontId="23" fillId="6" borderId="7" xfId="0" applyNumberFormat="1" applyFont="1" applyFill="1" applyBorder="1" applyAlignment="1">
      <alignment horizontal="right" vertical="center"/>
    </xf>
    <xf numFmtId="167" fontId="11" fillId="5" borderId="2" xfId="0" applyNumberFormat="1" applyFont="1" applyFill="1" applyBorder="1" applyAlignment="1">
      <alignment horizontal="right" vertical="center"/>
    </xf>
    <xf numFmtId="164" fontId="11" fillId="5" borderId="3" xfId="0" applyNumberFormat="1" applyFont="1" applyFill="1" applyBorder="1" applyAlignment="1">
      <alignment horizontal="right" vertical="center"/>
    </xf>
    <xf numFmtId="169" fontId="11" fillId="5" borderId="3" xfId="0" applyNumberFormat="1" applyFont="1" applyFill="1" applyBorder="1" applyAlignment="1">
      <alignment horizontal="center" vertical="center"/>
    </xf>
    <xf numFmtId="164" fontId="11" fillId="5" borderId="4" xfId="0" applyNumberFormat="1" applyFont="1" applyFill="1" applyBorder="1" applyAlignment="1">
      <alignment horizontal="right" vertical="center"/>
    </xf>
    <xf numFmtId="164" fontId="11" fillId="4" borderId="3" xfId="0" applyNumberFormat="1" applyFont="1" applyFill="1" applyBorder="1" applyAlignment="1">
      <alignment horizontal="right" vertical="center"/>
    </xf>
    <xf numFmtId="169" fontId="11" fillId="4" borderId="3" xfId="0" applyNumberFormat="1" applyFont="1" applyFill="1" applyBorder="1" applyAlignment="1">
      <alignment horizontal="center" vertical="center"/>
    </xf>
    <xf numFmtId="164" fontId="11" fillId="4" borderId="6" xfId="0" applyNumberFormat="1" applyFont="1" applyFill="1" applyBorder="1" applyAlignment="1">
      <alignment horizontal="right" vertical="center"/>
    </xf>
    <xf numFmtId="169" fontId="11" fillId="4" borderId="6" xfId="0" applyNumberFormat="1" applyFont="1" applyFill="1" applyBorder="1" applyAlignment="1">
      <alignment horizontal="center" vertical="center"/>
    </xf>
    <xf numFmtId="167" fontId="11" fillId="4" borderId="16" xfId="0" applyNumberFormat="1" applyFont="1" applyFill="1" applyBorder="1" applyAlignment="1">
      <alignment horizontal="right" vertical="center"/>
    </xf>
    <xf numFmtId="167" fontId="11" fillId="4" borderId="15" xfId="0" applyNumberFormat="1" applyFont="1" applyFill="1" applyBorder="1" applyAlignment="1">
      <alignment horizontal="right" vertical="center"/>
    </xf>
    <xf numFmtId="0" fontId="1" fillId="0" borderId="0" xfId="0" applyFont="1"/>
    <xf numFmtId="0" fontId="28" fillId="2" borderId="0" xfId="0" applyFont="1" applyFill="1" applyAlignment="1">
      <alignment horizontal="center" vertical="center"/>
    </xf>
    <xf numFmtId="0" fontId="5" fillId="0" borderId="0" xfId="0" applyFont="1" applyAlignment="1">
      <alignment horizontal="center"/>
    </xf>
    <xf numFmtId="0" fontId="6" fillId="2" borderId="1" xfId="0" applyFont="1" applyFill="1" applyBorder="1" applyAlignment="1">
      <alignment horizontal="left" vertical="center"/>
    </xf>
    <xf numFmtId="0" fontId="4" fillId="2" borderId="0" xfId="0" applyFont="1" applyFill="1" applyAlignment="1">
      <alignment horizontal="center" vertical="center"/>
    </xf>
    <xf numFmtId="0" fontId="10" fillId="2" borderId="0" xfId="0" applyFont="1" applyFill="1" applyAlignment="1">
      <alignment horizontal="center" vertical="center"/>
    </xf>
    <xf numFmtId="0" fontId="9" fillId="0" borderId="0" xfId="0" applyFont="1" applyAlignment="1">
      <alignment horizontal="left" vertical="center" wrapText="1"/>
    </xf>
    <xf numFmtId="0" fontId="6" fillId="2" borderId="11" xfId="0" applyFont="1" applyFill="1" applyBorder="1" applyAlignment="1">
      <alignment horizontal="left" vertical="center"/>
    </xf>
    <xf numFmtId="0" fontId="18" fillId="3" borderId="17" xfId="0" applyFont="1" applyFill="1" applyBorder="1" applyAlignment="1">
      <alignment horizontal="center" vertical="center" wrapText="1"/>
    </xf>
    <xf numFmtId="0" fontId="18" fillId="3" borderId="0" xfId="0" applyFont="1" applyFill="1" applyAlignment="1">
      <alignment horizontal="center" vertical="center" wrapText="1"/>
    </xf>
    <xf numFmtId="177" fontId="17" fillId="0" borderId="0" xfId="0" applyNumberFormat="1" applyFont="1"/>
    <xf numFmtId="9" fontId="17" fillId="0" borderId="0" xfId="0" applyNumberFormat="1" applyFont="1"/>
    <xf numFmtId="173" fontId="17" fillId="0" borderId="0" xfId="0" applyNumberFormat="1" applyFont="1"/>
    <xf numFmtId="177" fontId="21" fillId="0" borderId="0" xfId="0" applyNumberFormat="1" applyFont="1"/>
    <xf numFmtId="0" fontId="16" fillId="2" borderId="0" xfId="0" applyFont="1" applyFill="1" applyAlignment="1">
      <alignment vertical="center"/>
    </xf>
  </cellXfs>
  <cellStyles count="1">
    <cellStyle name="Normal" xfId="0" builtinId="0"/>
  </cellStyles>
  <dxfs count="0"/>
  <tableStyles count="1" defaultTableStyle="TableStyleMedium2" defaultPivotStyle="PivotStyleLight16">
    <tableStyle name="Invisible" pivot="0" table="0" count="0" xr9:uid="{3358AA8B-3C76-4DD0-8956-B61AF5618C0E}"/>
  </table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7F7F7F"/>
      <rgbColor rgb="FF9999FF"/>
      <rgbColor rgb="FF7030A0"/>
      <rgbColor rgb="FFFFF2CC"/>
      <rgbColor rgb="FFEBF3FB"/>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DECEA"/>
      <rgbColor rgb="FF99CCFF"/>
      <rgbColor rgb="FFFF99CC"/>
      <rgbColor rgb="FFCC99FF"/>
      <rgbColor rgb="FFFFCC99"/>
      <rgbColor rgb="FF2E75B6"/>
      <rgbColor rgb="FF33CCCC"/>
      <rgbColor rgb="FF99CC00"/>
      <rgbColor rgb="FFFFCC00"/>
      <rgbColor rgb="FFFF9900"/>
      <rgbColor rgb="FFE36C09"/>
      <rgbColor rgb="FF595959"/>
      <rgbColor rgb="FF878787"/>
      <rgbColor rgb="FF1F3864"/>
      <rgbColor rgb="FF70AD47"/>
      <rgbColor rgb="FF003300"/>
      <rgbColor rgb="FF375623"/>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IN" sz="1800" b="1" strike="noStrike" spc="-1">
                <a:solidFill>
                  <a:srgbClr val="000000"/>
                </a:solidFill>
                <a:latin typeface="Calibri"/>
              </a:rPr>
              <a:t>NIFTY Option Payoff at Expiration</a:t>
            </a:r>
          </a:p>
        </c:rich>
      </c:tx>
      <c:layout>
        <c:manualLayout>
          <c:xMode val="edge"/>
          <c:yMode val="edge"/>
          <c:x val="0.61527610675789679"/>
          <c:y val="0"/>
        </c:manualLayout>
      </c:layout>
      <c:overlay val="0"/>
      <c:spPr>
        <a:noFill/>
        <a:ln w="0">
          <a:noFill/>
        </a:ln>
      </c:spPr>
    </c:title>
    <c:autoTitleDeleted val="0"/>
    <c:plotArea>
      <c:layout/>
      <c:lineChart>
        <c:grouping val="standard"/>
        <c:varyColors val="0"/>
        <c:ser>
          <c:idx val="0"/>
          <c:order val="0"/>
          <c:spPr>
            <a:ln w="20160">
              <a:solidFill>
                <a:srgbClr val="70AD47"/>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0</c:f>
              <c:numCache>
                <c:formatCode>[$₹]###,##0.00</c:formatCode>
                <c:ptCount val="21"/>
                <c:pt idx="0">
                  <c:v>-21065.1762276929</c:v>
                </c:pt>
                <c:pt idx="1">
                  <c:v>-21065.1762276929</c:v>
                </c:pt>
                <c:pt idx="2">
                  <c:v>-21065.1762276929</c:v>
                </c:pt>
                <c:pt idx="3">
                  <c:v>-21065.1762276929</c:v>
                </c:pt>
                <c:pt idx="4">
                  <c:v>-21065.1762276929</c:v>
                </c:pt>
                <c:pt idx="5">
                  <c:v>-21065.1762276929</c:v>
                </c:pt>
                <c:pt idx="6">
                  <c:v>-21065.1762276929</c:v>
                </c:pt>
                <c:pt idx="7">
                  <c:v>-21065.1762276929</c:v>
                </c:pt>
                <c:pt idx="8">
                  <c:v>-21065.1762276929</c:v>
                </c:pt>
                <c:pt idx="9">
                  <c:v>-21065.1762276929</c:v>
                </c:pt>
                <c:pt idx="10">
                  <c:v>-21065.1762276929</c:v>
                </c:pt>
                <c:pt idx="11">
                  <c:v>-10065.1762276929</c:v>
                </c:pt>
                <c:pt idx="12">
                  <c:v>934.82377230711802</c:v>
                </c:pt>
                <c:pt idx="13">
                  <c:v>11934.8237723071</c:v>
                </c:pt>
                <c:pt idx="14">
                  <c:v>22934.8237723071</c:v>
                </c:pt>
                <c:pt idx="15">
                  <c:v>33934.8237723071</c:v>
                </c:pt>
                <c:pt idx="16">
                  <c:v>44934.8237723071</c:v>
                </c:pt>
                <c:pt idx="17">
                  <c:v>55934.8237723071</c:v>
                </c:pt>
                <c:pt idx="18">
                  <c:v>66934.823772307107</c:v>
                </c:pt>
                <c:pt idx="19">
                  <c:v>77934.823772307107</c:v>
                </c:pt>
                <c:pt idx="20">
                  <c:v>88934.823772307296</c:v>
                </c:pt>
              </c:numCache>
            </c:numRef>
          </c:val>
          <c:smooth val="1"/>
          <c:extLst>
            <c:ext xmlns:c15="http://schemas.microsoft.com/office/drawing/2012/chart" uri="{02D57815-91ED-43cb-92C2-25804820EDAC}">
              <c15:filteredSeriesTitle>
                <c15:tx>
                  <c:strRef>
                    <c:extLst>
                      <c:ext uri="{02D57815-91ED-43cb-92C2-25804820EDAC}">
                        <c15:formulaRef>
                          <c15:sqref>label 0</c15:sqref>
                        </c15:formulaRef>
                      </c:ext>
                    </c:extLst>
                    <c:strCache>
                      <c:ptCount val="1"/>
                      <c:pt idx="0">
                        <c:v>Call P&amp;L (₹)</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21"/>
                      <c:pt idx="0">
                        <c:v>₹19,800</c:v>
                      </c:pt>
                      <c:pt idx="1">
                        <c:v>₹20,020</c:v>
                      </c:pt>
                      <c:pt idx="2">
                        <c:v>₹20,240</c:v>
                      </c:pt>
                      <c:pt idx="3">
                        <c:v>₹20,460</c:v>
                      </c:pt>
                      <c:pt idx="4">
                        <c:v>₹20,680</c:v>
                      </c:pt>
                      <c:pt idx="5">
                        <c:v>₹20,900</c:v>
                      </c:pt>
                      <c:pt idx="6">
                        <c:v>₹21,120</c:v>
                      </c:pt>
                      <c:pt idx="7">
                        <c:v>₹21,340</c:v>
                      </c:pt>
                      <c:pt idx="8">
                        <c:v>₹21,560</c:v>
                      </c:pt>
                      <c:pt idx="9">
                        <c:v>₹21,780</c:v>
                      </c:pt>
                      <c:pt idx="10">
                        <c:v>₹22,000</c:v>
                      </c:pt>
                      <c:pt idx="11">
                        <c:v>₹22,220</c:v>
                      </c:pt>
                      <c:pt idx="12">
                        <c:v>₹22,440</c:v>
                      </c:pt>
                      <c:pt idx="13">
                        <c:v>₹22,660</c:v>
                      </c:pt>
                      <c:pt idx="14">
                        <c:v>₹22,880</c:v>
                      </c:pt>
                      <c:pt idx="15">
                        <c:v>₹23,100</c:v>
                      </c:pt>
                      <c:pt idx="16">
                        <c:v>₹23,320</c:v>
                      </c:pt>
                      <c:pt idx="17">
                        <c:v>₹23,540</c:v>
                      </c:pt>
                      <c:pt idx="18">
                        <c:v>₹23,760</c:v>
                      </c:pt>
                      <c:pt idx="19">
                        <c:v>₹23,980</c:v>
                      </c:pt>
                      <c:pt idx="20">
                        <c:v>₹24,200</c:v>
                      </c:pt>
                    </c:strCache>
                  </c:strRef>
                </c15:cat>
              </c15:filteredCategoryTitle>
            </c:ext>
            <c:ext xmlns:c16="http://schemas.microsoft.com/office/drawing/2014/chart" uri="{C3380CC4-5D6E-409C-BE32-E72D297353CC}">
              <c16:uniqueId val="{00000000-BBF6-400F-9CF7-13EB5A5B0C5A}"/>
            </c:ext>
          </c:extLst>
        </c:ser>
        <c:ser>
          <c:idx val="1"/>
          <c:order val="1"/>
          <c:spPr>
            <a:ln w="20160">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1</c:f>
              <c:numCache>
                <c:formatCode>[$₹]###,##0.00</c:formatCode>
                <c:ptCount val="21"/>
                <c:pt idx="0">
                  <c:v>93758.399606844294</c:v>
                </c:pt>
                <c:pt idx="1">
                  <c:v>82758.399606844294</c:v>
                </c:pt>
                <c:pt idx="2">
                  <c:v>71758.399606844294</c:v>
                </c:pt>
                <c:pt idx="3">
                  <c:v>60758.399606844301</c:v>
                </c:pt>
                <c:pt idx="4">
                  <c:v>49758.399606844301</c:v>
                </c:pt>
                <c:pt idx="5">
                  <c:v>38758.399606844301</c:v>
                </c:pt>
                <c:pt idx="6">
                  <c:v>27758.399606844301</c:v>
                </c:pt>
                <c:pt idx="7">
                  <c:v>16758.399606844301</c:v>
                </c:pt>
                <c:pt idx="8">
                  <c:v>5758.3996068443403</c:v>
                </c:pt>
                <c:pt idx="9">
                  <c:v>-5241.6003931556597</c:v>
                </c:pt>
                <c:pt idx="10">
                  <c:v>-16241.600393155701</c:v>
                </c:pt>
                <c:pt idx="11">
                  <c:v>-16241.600393155701</c:v>
                </c:pt>
                <c:pt idx="12">
                  <c:v>-16241.600393155701</c:v>
                </c:pt>
                <c:pt idx="13">
                  <c:v>-16241.600393155701</c:v>
                </c:pt>
                <c:pt idx="14">
                  <c:v>-16241.600393155701</c:v>
                </c:pt>
                <c:pt idx="15">
                  <c:v>-16241.600393155701</c:v>
                </c:pt>
                <c:pt idx="16">
                  <c:v>-16241.600393155701</c:v>
                </c:pt>
                <c:pt idx="17">
                  <c:v>-16241.600393155701</c:v>
                </c:pt>
                <c:pt idx="18">
                  <c:v>-16241.600393155701</c:v>
                </c:pt>
                <c:pt idx="19">
                  <c:v>-16241.600393155701</c:v>
                </c:pt>
                <c:pt idx="20">
                  <c:v>-16241.600393155701</c:v>
                </c:pt>
              </c:numCache>
            </c:numRef>
          </c:val>
          <c:smooth val="1"/>
          <c:extLst>
            <c:ext xmlns:c15="http://schemas.microsoft.com/office/drawing/2012/chart" uri="{02D57815-91ED-43cb-92C2-25804820EDAC}">
              <c15:filteredSeriesTitle>
                <c15:tx>
                  <c:strRef>
                    <c:extLst>
                      <c:ext uri="{02D57815-91ED-43cb-92C2-25804820EDAC}">
                        <c15:formulaRef>
                          <c15:sqref>label 1</c15:sqref>
                        </c15:formulaRef>
                      </c:ext>
                    </c:extLst>
                    <c:strCache>
                      <c:ptCount val="1"/>
                      <c:pt idx="0">
                        <c:v>Put P&amp;L (₹)</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21"/>
                      <c:pt idx="0">
                        <c:v>₹19,800</c:v>
                      </c:pt>
                      <c:pt idx="1">
                        <c:v>₹20,020</c:v>
                      </c:pt>
                      <c:pt idx="2">
                        <c:v>₹20,240</c:v>
                      </c:pt>
                      <c:pt idx="3">
                        <c:v>₹20,460</c:v>
                      </c:pt>
                      <c:pt idx="4">
                        <c:v>₹20,680</c:v>
                      </c:pt>
                      <c:pt idx="5">
                        <c:v>₹20,900</c:v>
                      </c:pt>
                      <c:pt idx="6">
                        <c:v>₹21,120</c:v>
                      </c:pt>
                      <c:pt idx="7">
                        <c:v>₹21,340</c:v>
                      </c:pt>
                      <c:pt idx="8">
                        <c:v>₹21,560</c:v>
                      </c:pt>
                      <c:pt idx="9">
                        <c:v>₹21,780</c:v>
                      </c:pt>
                      <c:pt idx="10">
                        <c:v>₹22,000</c:v>
                      </c:pt>
                      <c:pt idx="11">
                        <c:v>₹22,220</c:v>
                      </c:pt>
                      <c:pt idx="12">
                        <c:v>₹22,440</c:v>
                      </c:pt>
                      <c:pt idx="13">
                        <c:v>₹22,660</c:v>
                      </c:pt>
                      <c:pt idx="14">
                        <c:v>₹22,880</c:v>
                      </c:pt>
                      <c:pt idx="15">
                        <c:v>₹23,100</c:v>
                      </c:pt>
                      <c:pt idx="16">
                        <c:v>₹23,320</c:v>
                      </c:pt>
                      <c:pt idx="17">
                        <c:v>₹23,540</c:v>
                      </c:pt>
                      <c:pt idx="18">
                        <c:v>₹23,760</c:v>
                      </c:pt>
                      <c:pt idx="19">
                        <c:v>₹23,980</c:v>
                      </c:pt>
                      <c:pt idx="20">
                        <c:v>₹24,200</c:v>
                      </c:pt>
                    </c:strCache>
                  </c:strRef>
                </c15:cat>
              </c15:filteredCategoryTitle>
            </c:ext>
            <c:ext xmlns:c16="http://schemas.microsoft.com/office/drawing/2014/chart" uri="{C3380CC4-5D6E-409C-BE32-E72D297353CC}">
              <c16:uniqueId val="{00000001-BBF6-400F-9CF7-13EB5A5B0C5A}"/>
            </c:ext>
          </c:extLst>
        </c:ser>
        <c:ser>
          <c:idx val="2"/>
          <c:order val="2"/>
          <c:spPr>
            <a:ln w="15120">
              <a:solidFill>
                <a:srgbClr val="2E75B6"/>
              </a:solidFill>
              <a:round/>
            </a:ln>
          </c:spPr>
          <c:marker>
            <c:symbol val="none"/>
          </c:marker>
          <c:dLbls>
            <c:spPr>
              <a:noFill/>
              <a:ln>
                <a:noFill/>
              </a:ln>
              <a:effectLst/>
            </c:spPr>
            <c:txPr>
              <a:bodyPr wrap="square"/>
              <a:lstStyle/>
              <a:p>
                <a:pPr>
                  <a:defRPr sz="1000" b="0" strike="noStrike" spc="-1">
                    <a:solidFill>
                      <a:srgbClr val="000000"/>
                    </a:solidFill>
                    <a:latin typeface="Arial"/>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val>
            <c:numRef>
              <c:f>2</c:f>
              <c:numCache>
                <c:formatCode>[$₹]###,##0.00</c:formatCode>
                <c:ptCount val="21"/>
                <c:pt idx="0">
                  <c:v>72693.223379151503</c:v>
                </c:pt>
                <c:pt idx="1">
                  <c:v>61693.223379151503</c:v>
                </c:pt>
                <c:pt idx="2">
                  <c:v>50693.223379151503</c:v>
                </c:pt>
                <c:pt idx="3">
                  <c:v>39693.223379151503</c:v>
                </c:pt>
                <c:pt idx="4">
                  <c:v>28693.223379151499</c:v>
                </c:pt>
                <c:pt idx="5">
                  <c:v>17693.223379151499</c:v>
                </c:pt>
                <c:pt idx="6">
                  <c:v>6693.22337915146</c:v>
                </c:pt>
                <c:pt idx="7">
                  <c:v>-4306.77662084854</c:v>
                </c:pt>
                <c:pt idx="8">
                  <c:v>-15306.776620848501</c:v>
                </c:pt>
                <c:pt idx="9">
                  <c:v>-26306.776620848501</c:v>
                </c:pt>
                <c:pt idx="10">
                  <c:v>-37306.776620848497</c:v>
                </c:pt>
                <c:pt idx="11">
                  <c:v>-26306.776620848501</c:v>
                </c:pt>
                <c:pt idx="12">
                  <c:v>-15306.776620848501</c:v>
                </c:pt>
                <c:pt idx="13">
                  <c:v>-4306.77662084854</c:v>
                </c:pt>
                <c:pt idx="14">
                  <c:v>6693.22337915146</c:v>
                </c:pt>
                <c:pt idx="15">
                  <c:v>17693.223379151499</c:v>
                </c:pt>
                <c:pt idx="16">
                  <c:v>28693.223379151499</c:v>
                </c:pt>
                <c:pt idx="17">
                  <c:v>39693.223379151503</c:v>
                </c:pt>
                <c:pt idx="18">
                  <c:v>50693.223379151503</c:v>
                </c:pt>
                <c:pt idx="19">
                  <c:v>61693.223379151503</c:v>
                </c:pt>
                <c:pt idx="20">
                  <c:v>72693.223379151605</c:v>
                </c:pt>
              </c:numCache>
            </c:numRef>
          </c:val>
          <c:smooth val="1"/>
          <c:extLst>
            <c:ext xmlns:c15="http://schemas.microsoft.com/office/drawing/2012/chart" uri="{02D57815-91ED-43cb-92C2-25804820EDAC}">
              <c15:filteredSeriesTitle>
                <c15:tx>
                  <c:strRef>
                    <c:extLst>
                      <c:ext uri="{02D57815-91ED-43cb-92C2-25804820EDAC}">
                        <c15:formulaRef>
                          <c15:sqref>label 2</c15:sqref>
                        </c15:formulaRef>
                      </c:ext>
                    </c:extLst>
                    <c:strCache>
                      <c:ptCount val="1"/>
                      <c:pt idx="0">
                        <c:v>Net Straddle (₹)</c:v>
                      </c:pt>
                    </c:strCache>
                  </c:strRef>
                </c15:tx>
              </c15:filteredSeriesTitle>
            </c:ext>
            <c:ext xmlns:c15="http://schemas.microsoft.com/office/drawing/2012/chart" uri="{02D57815-91ED-43cb-92C2-25804820EDAC}">
              <c15:filteredCategoryTitle>
                <c15:cat>
                  <c:strRef>
                    <c:extLst>
                      <c:ext uri="{02D57815-91ED-43cb-92C2-25804820EDAC}">
                        <c15:formulaRef>
                          <c15:sqref>categories</c15:sqref>
                        </c15:formulaRef>
                      </c:ext>
                    </c:extLst>
                    <c:strCache>
                      <c:ptCount val="21"/>
                      <c:pt idx="0">
                        <c:v>₹19,800</c:v>
                      </c:pt>
                      <c:pt idx="1">
                        <c:v>₹20,020</c:v>
                      </c:pt>
                      <c:pt idx="2">
                        <c:v>₹20,240</c:v>
                      </c:pt>
                      <c:pt idx="3">
                        <c:v>₹20,460</c:v>
                      </c:pt>
                      <c:pt idx="4">
                        <c:v>₹20,680</c:v>
                      </c:pt>
                      <c:pt idx="5">
                        <c:v>₹20,900</c:v>
                      </c:pt>
                      <c:pt idx="6">
                        <c:v>₹21,120</c:v>
                      </c:pt>
                      <c:pt idx="7">
                        <c:v>₹21,340</c:v>
                      </c:pt>
                      <c:pt idx="8">
                        <c:v>₹21,560</c:v>
                      </c:pt>
                      <c:pt idx="9">
                        <c:v>₹21,780</c:v>
                      </c:pt>
                      <c:pt idx="10">
                        <c:v>₹22,000</c:v>
                      </c:pt>
                      <c:pt idx="11">
                        <c:v>₹22,220</c:v>
                      </c:pt>
                      <c:pt idx="12">
                        <c:v>₹22,440</c:v>
                      </c:pt>
                      <c:pt idx="13">
                        <c:v>₹22,660</c:v>
                      </c:pt>
                      <c:pt idx="14">
                        <c:v>₹22,880</c:v>
                      </c:pt>
                      <c:pt idx="15">
                        <c:v>₹23,100</c:v>
                      </c:pt>
                      <c:pt idx="16">
                        <c:v>₹23,320</c:v>
                      </c:pt>
                      <c:pt idx="17">
                        <c:v>₹23,540</c:v>
                      </c:pt>
                      <c:pt idx="18">
                        <c:v>₹23,760</c:v>
                      </c:pt>
                      <c:pt idx="19">
                        <c:v>₹23,980</c:v>
                      </c:pt>
                      <c:pt idx="20">
                        <c:v>₹24,200</c:v>
                      </c:pt>
                    </c:strCache>
                  </c:strRef>
                </c15:cat>
              </c15:filteredCategoryTitle>
            </c:ext>
            <c:ext xmlns:c16="http://schemas.microsoft.com/office/drawing/2014/chart" uri="{C3380CC4-5D6E-409C-BE32-E72D297353CC}">
              <c16:uniqueId val="{00000002-BBF6-400F-9CF7-13EB5A5B0C5A}"/>
            </c:ext>
          </c:extLst>
        </c:ser>
        <c:dLbls>
          <c:showLegendKey val="0"/>
          <c:showVal val="0"/>
          <c:showCatName val="0"/>
          <c:showSerName val="0"/>
          <c:showPercent val="0"/>
          <c:showBubbleSize val="0"/>
        </c:dLbls>
        <c:hiLowLines>
          <c:spPr>
            <a:ln w="0">
              <a:noFill/>
            </a:ln>
          </c:spPr>
        </c:hiLowLines>
        <c:smooth val="0"/>
        <c:axId val="506871"/>
        <c:axId val="85618695"/>
      </c:lineChart>
      <c:catAx>
        <c:axId val="506871"/>
        <c:scaling>
          <c:orientation val="minMax"/>
        </c:scaling>
        <c:delete val="0"/>
        <c:axPos val="b"/>
        <c:title>
          <c:tx>
            <c:rich>
              <a:bodyPr rot="0"/>
              <a:lstStyle/>
              <a:p>
                <a:pPr>
                  <a:defRPr sz="1000" b="1" strike="noStrike" spc="-1">
                    <a:solidFill>
                      <a:srgbClr val="000000"/>
                    </a:solidFill>
                    <a:latin typeface="Calibri"/>
                  </a:defRPr>
                </a:pPr>
                <a:r>
                  <a:rPr lang="en-IN" sz="1000" b="1" strike="noStrike" spc="-1">
                    <a:solidFill>
                      <a:srgbClr val="000000"/>
                    </a:solidFill>
                    <a:latin typeface="Calibri"/>
                  </a:rPr>
                  <a:t>NIFTY Spot at Expiration</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618695"/>
        <c:crosses val="autoZero"/>
        <c:auto val="1"/>
        <c:lblAlgn val="ctr"/>
        <c:lblOffset val="100"/>
        <c:noMultiLvlLbl val="0"/>
      </c:catAx>
      <c:valAx>
        <c:axId val="8561869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IN" sz="1000" b="1" strike="noStrike" spc="-1">
                    <a:solidFill>
                      <a:srgbClr val="000000"/>
                    </a:solidFill>
                    <a:latin typeface="Calibri"/>
                  </a:rPr>
                  <a:t>P&amp;L (₹)</a:t>
                </a:r>
              </a:p>
            </c:rich>
          </c:tx>
          <c:overlay val="0"/>
          <c:spPr>
            <a:noFill/>
            <a:ln w="0">
              <a:noFill/>
            </a:ln>
          </c:spPr>
        </c:title>
        <c:numFmt formatCode="[$₹]###,##0.0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06871"/>
        <c:crosses val="autoZero"/>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en-US"/>
        </a:p>
      </c:txPr>
    </c:legend>
    <c:plotVisOnly val="1"/>
    <c:dispBlanksAs val="zero"/>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Delta Evolution Toward Expiry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'05_Sensitivity_Matrix'!$B$33:$B$43</c:f>
              <c:numCache>
                <c:formatCode>\₹\ #,##0;\(\₹\ #,##0\)</c:formatCode>
                <c:ptCount val="11"/>
                <c:pt idx="0">
                  <c:v>20000</c:v>
                </c:pt>
                <c:pt idx="1">
                  <c:v>20400</c:v>
                </c:pt>
                <c:pt idx="2">
                  <c:v>20800</c:v>
                </c:pt>
                <c:pt idx="3">
                  <c:v>21200</c:v>
                </c:pt>
                <c:pt idx="4">
                  <c:v>21600</c:v>
                </c:pt>
                <c:pt idx="5">
                  <c:v>22000</c:v>
                </c:pt>
                <c:pt idx="6">
                  <c:v>22400</c:v>
                </c:pt>
                <c:pt idx="7">
                  <c:v>22800</c:v>
                </c:pt>
                <c:pt idx="8">
                  <c:v>23200</c:v>
                </c:pt>
                <c:pt idx="9">
                  <c:v>23600</c:v>
                </c:pt>
                <c:pt idx="10">
                  <c:v>24000</c:v>
                </c:pt>
              </c:numCache>
            </c:numRef>
          </c:xVal>
          <c:yVal>
            <c:numRef>
              <c:f>'05_Sensitivity_Matrix'!$C$33:$C$43</c:f>
              <c:numCache>
                <c:formatCode>\₹\ #,##0.00;\(\₹\ #,##0.00\)</c:formatCode>
                <c:ptCount val="11"/>
                <c:pt idx="0">
                  <c:v>0.84585138261836557</c:v>
                </c:pt>
                <c:pt idx="1">
                  <c:v>2.4461497229044955</c:v>
                </c:pt>
                <c:pt idx="2">
                  <c:v>5.7745687006558377</c:v>
                </c:pt>
                <c:pt idx="3">
                  <c:v>11.345635072143045</c:v>
                </c:pt>
                <c:pt idx="4">
                  <c:v>18.937478313794788</c:v>
                </c:pt>
                <c:pt idx="5">
                  <c:v>27.452408721914711</c:v>
                </c:pt>
                <c:pt idx="6">
                  <c:v>35.393043844684492</c:v>
                </c:pt>
                <c:pt idx="7">
                  <c:v>41.609007092504484</c:v>
                </c:pt>
                <c:pt idx="8">
                  <c:v>45.730218838598766</c:v>
                </c:pt>
                <c:pt idx="9">
                  <c:v>48.063967174915227</c:v>
                </c:pt>
                <c:pt idx="10">
                  <c:v>49.20166713313948</c:v>
                </c:pt>
              </c:numCache>
            </c:numRef>
          </c:yVal>
          <c:smooth val="0"/>
          <c:extLst>
            <c:ext xmlns:c16="http://schemas.microsoft.com/office/drawing/2014/chart" uri="{C3380CC4-5D6E-409C-BE32-E72D297353CC}">
              <c16:uniqueId val="{00000000-4DF6-4110-959D-8238B1B7AF33}"/>
            </c:ext>
          </c:extLst>
        </c:ser>
        <c:ser>
          <c:idx val="1"/>
          <c:order val="1"/>
          <c:tx>
            <c:v>0.04 Years</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'05_Sensitivity_Matrix'!$B$33:$B$43</c:f>
              <c:numCache>
                <c:formatCode>\₹\ #,##0;\(\₹\ #,##0\)</c:formatCode>
                <c:ptCount val="11"/>
                <c:pt idx="0">
                  <c:v>20000</c:v>
                </c:pt>
                <c:pt idx="1">
                  <c:v>20400</c:v>
                </c:pt>
                <c:pt idx="2">
                  <c:v>20800</c:v>
                </c:pt>
                <c:pt idx="3">
                  <c:v>21200</c:v>
                </c:pt>
                <c:pt idx="4">
                  <c:v>21600</c:v>
                </c:pt>
                <c:pt idx="5">
                  <c:v>22000</c:v>
                </c:pt>
                <c:pt idx="6">
                  <c:v>22400</c:v>
                </c:pt>
                <c:pt idx="7">
                  <c:v>22800</c:v>
                </c:pt>
                <c:pt idx="8">
                  <c:v>23200</c:v>
                </c:pt>
                <c:pt idx="9">
                  <c:v>23600</c:v>
                </c:pt>
                <c:pt idx="10">
                  <c:v>24000</c:v>
                </c:pt>
              </c:numCache>
            </c:numRef>
          </c:xVal>
          <c:yVal>
            <c:numRef>
              <c:f>'05_Sensitivity_Matrix'!$E$33:$E$43</c:f>
              <c:numCache>
                <c:formatCode>\₹\ #,##0.00;\(\₹\ #,##0.00\)</c:formatCode>
                <c:ptCount val="11"/>
                <c:pt idx="0">
                  <c:v>5.0233058223210773E-2</c:v>
                </c:pt>
                <c:pt idx="1">
                  <c:v>0.378719401582917</c:v>
                </c:pt>
                <c:pt idx="2">
                  <c:v>1.8704002920160674</c:v>
                </c:pt>
                <c:pt idx="3">
                  <c:v>6.2872196220416861</c:v>
                </c:pt>
                <c:pt idx="4">
                  <c:v>15.010048390711898</c:v>
                </c:pt>
                <c:pt idx="5">
                  <c:v>26.743655333834386</c:v>
                </c:pt>
                <c:pt idx="6">
                  <c:v>37.706004170821615</c:v>
                </c:pt>
                <c:pt idx="7">
                  <c:v>44.950032798772654</c:v>
                </c:pt>
                <c:pt idx="8">
                  <c:v>48.394074169410736</c:v>
                </c:pt>
                <c:pt idx="9">
                  <c:v>49.591174908611727</c:v>
                </c:pt>
                <c:pt idx="10">
                  <c:v>49.900012121636038</c:v>
                </c:pt>
              </c:numCache>
            </c:numRef>
          </c:yVal>
          <c:smooth val="0"/>
          <c:extLst>
            <c:ext xmlns:c16="http://schemas.microsoft.com/office/drawing/2014/chart" uri="{C3380CC4-5D6E-409C-BE32-E72D297353CC}">
              <c16:uniqueId val="{00000002-4DF6-4110-959D-8238B1B7AF33}"/>
            </c:ext>
          </c:extLst>
        </c:ser>
        <c:ser>
          <c:idx val="2"/>
          <c:order val="2"/>
          <c:tx>
            <c:strRef>
              <c:f>'05_Sensitivity_Matrix'!$H$32</c:f>
              <c:strCache>
                <c:ptCount val="1"/>
                <c:pt idx="0">
                  <c:v>0.002</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'05_Sensitivity_Matrix'!$B$33:$B$43</c:f>
              <c:numCache>
                <c:formatCode>\₹\ #,##0;\(\₹\ #,##0\)</c:formatCode>
                <c:ptCount val="11"/>
                <c:pt idx="0">
                  <c:v>20000</c:v>
                </c:pt>
                <c:pt idx="1">
                  <c:v>20400</c:v>
                </c:pt>
                <c:pt idx="2">
                  <c:v>20800</c:v>
                </c:pt>
                <c:pt idx="3">
                  <c:v>21200</c:v>
                </c:pt>
                <c:pt idx="4">
                  <c:v>21600</c:v>
                </c:pt>
                <c:pt idx="5">
                  <c:v>22000</c:v>
                </c:pt>
                <c:pt idx="6">
                  <c:v>22400</c:v>
                </c:pt>
                <c:pt idx="7">
                  <c:v>22800</c:v>
                </c:pt>
                <c:pt idx="8">
                  <c:v>23200</c:v>
                </c:pt>
                <c:pt idx="9">
                  <c:v>23600</c:v>
                </c:pt>
                <c:pt idx="10">
                  <c:v>24000</c:v>
                </c:pt>
              </c:numCache>
            </c:numRef>
          </c:xVal>
          <c:yVal>
            <c:numRef>
              <c:f>'05_Sensitivity_Matrix'!$H$33:$H$43</c:f>
              <c:numCache>
                <c:formatCode>\₹\ #,##0.00;\(\₹\ #,##0.00\)</c:formatCode>
                <c:ptCount val="11"/>
                <c:pt idx="0">
                  <c:v>2.7080983289428207E-44</c:v>
                </c:pt>
                <c:pt idx="1">
                  <c:v>6.7657422026336225E-28</c:v>
                </c:pt>
                <c:pt idx="2">
                  <c:v>1.8326779718805032E-15</c:v>
                </c:pt>
                <c:pt idx="3">
                  <c:v>9.3855374738629471E-7</c:v>
                </c:pt>
                <c:pt idx="4">
                  <c:v>0.16539643166265527</c:v>
                </c:pt>
                <c:pt idx="5">
                  <c:v>25.393206650787832</c:v>
                </c:pt>
                <c:pt idx="6">
                  <c:v>49.828150927888338</c:v>
                </c:pt>
                <c:pt idx="7">
                  <c:v>49.998497753255705</c:v>
                </c:pt>
                <c:pt idx="8">
                  <c:v>49.998500022499726</c:v>
                </c:pt>
                <c:pt idx="9">
                  <c:v>49.998500022499776</c:v>
                </c:pt>
                <c:pt idx="10">
                  <c:v>49.998500022499776</c:v>
                </c:pt>
              </c:numCache>
            </c:numRef>
          </c:yVal>
          <c:smooth val="0"/>
          <c:extLst>
            <c:ext xmlns:c16="http://schemas.microsoft.com/office/drawing/2014/chart" uri="{C3380CC4-5D6E-409C-BE32-E72D297353CC}">
              <c16:uniqueId val="{00000003-4DF6-4110-959D-8238B1B7AF33}"/>
            </c:ext>
          </c:extLst>
        </c:ser>
        <c:dLbls>
          <c:showLegendKey val="0"/>
          <c:showVal val="0"/>
          <c:showCatName val="0"/>
          <c:showSerName val="0"/>
          <c:showPercent val="0"/>
          <c:showBubbleSize val="0"/>
        </c:dLbls>
        <c:axId val="413438175"/>
        <c:axId val="413455935"/>
      </c:scatterChart>
      <c:valAx>
        <c:axId val="4134381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NIFTY Spot Price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55935"/>
        <c:crosses val="autoZero"/>
        <c:crossBetween val="midCat"/>
      </c:valAx>
      <c:valAx>
        <c:axId val="413455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Call Delta × Lot Size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00;\(\₹\ #,##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43817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10</xdr:col>
      <xdr:colOff>90655</xdr:colOff>
      <xdr:row>33</xdr:row>
      <xdr:rowOff>13728</xdr:rowOff>
    </xdr:from>
    <xdr:to>
      <xdr:col>24</xdr:col>
      <xdr:colOff>195482</xdr:colOff>
      <xdr:row>58</xdr:row>
      <xdr:rowOff>73765</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670193</xdr:colOff>
      <xdr:row>44</xdr:row>
      <xdr:rowOff>46822</xdr:rowOff>
    </xdr:from>
    <xdr:to>
      <xdr:col>20</xdr:col>
      <xdr:colOff>137711</xdr:colOff>
      <xdr:row>63</xdr:row>
      <xdr:rowOff>18362</xdr:rowOff>
    </xdr:to>
    <xdr:graphicFrame macro="">
      <xdr:nvGraphicFramePr>
        <xdr:cNvPr id="4" name="Chart 3">
          <a:extLst>
            <a:ext uri="{FF2B5EF4-FFF2-40B4-BE49-F238E27FC236}">
              <a16:creationId xmlns:a16="http://schemas.microsoft.com/office/drawing/2014/main" id="{36BBD0F1-62F3-22DD-1FDE-6DF04760B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B2:H41"/>
  <sheetViews>
    <sheetView showGridLines="0" zoomScale="73" zoomScaleNormal="92" workbookViewId="0">
      <selection activeCell="F51" sqref="F51"/>
    </sheetView>
  </sheetViews>
  <sheetFormatPr defaultColWidth="8.6640625" defaultRowHeight="14.4" x14ac:dyDescent="0.3"/>
  <cols>
    <col min="1" max="1" width="3" style="62" customWidth="1"/>
    <col min="2" max="2" width="22" style="62" customWidth="1"/>
    <col min="3" max="3" width="22.33203125" style="62" customWidth="1"/>
    <col min="4" max="4" width="21.109375" style="62" customWidth="1"/>
    <col min="5" max="5" width="27.33203125" style="62" customWidth="1"/>
    <col min="6" max="6" width="48.109375" style="62" customWidth="1"/>
    <col min="7" max="7" width="3" style="62" customWidth="1"/>
    <col min="8" max="16384" width="8.6640625" style="62"/>
  </cols>
  <sheetData>
    <row r="2" spans="2:6" ht="42" customHeight="1" x14ac:dyDescent="0.3">
      <c r="B2" s="133" t="s">
        <v>0</v>
      </c>
      <c r="C2" s="133"/>
      <c r="D2" s="133"/>
      <c r="E2" s="133"/>
      <c r="F2" s="133"/>
    </row>
    <row r="3" spans="2:6" ht="15" customHeight="1" x14ac:dyDescent="0.3">
      <c r="B3" s="134" t="s">
        <v>1</v>
      </c>
      <c r="C3" s="134"/>
      <c r="D3" s="134"/>
      <c r="E3" s="134"/>
      <c r="F3" s="134"/>
    </row>
    <row r="5" spans="2:6" ht="24" customHeight="1" x14ac:dyDescent="0.3">
      <c r="B5" s="135" t="s">
        <v>2</v>
      </c>
      <c r="C5" s="135"/>
      <c r="D5" s="135"/>
      <c r="E5" s="135"/>
      <c r="F5" s="135"/>
    </row>
    <row r="6" spans="2:6" ht="24" customHeight="1" x14ac:dyDescent="0.3">
      <c r="B6" s="14" t="s">
        <v>3</v>
      </c>
      <c r="C6" s="15" t="s">
        <v>4</v>
      </c>
      <c r="D6" s="15" t="s">
        <v>5</v>
      </c>
      <c r="E6" s="15" t="s">
        <v>6</v>
      </c>
      <c r="F6" s="16" t="s">
        <v>7</v>
      </c>
    </row>
    <row r="7" spans="2:6" ht="21.75" customHeight="1" x14ac:dyDescent="0.3">
      <c r="B7" s="23" t="s">
        <v>8</v>
      </c>
      <c r="C7" s="103">
        <f>'03_BS_Engine'!C11</f>
        <v>421.30352455385764</v>
      </c>
      <c r="D7" s="104">
        <f>'03_BS_Engine'!C12</f>
        <v>324.83200786311318</v>
      </c>
      <c r="E7" s="103">
        <f>'03_BS_Engine'!D11</f>
        <v>21065.176227692882</v>
      </c>
      <c r="F7" s="105">
        <f>'03_BS_Engine'!D12</f>
        <v>16241.600393155659</v>
      </c>
    </row>
    <row r="8" spans="2:6" ht="21.75" customHeight="1" x14ac:dyDescent="0.3">
      <c r="B8" s="23" t="s">
        <v>9</v>
      </c>
      <c r="C8" s="106">
        <f>'04_Risk_Greeks'!C5</f>
        <v>0.54904817443829423</v>
      </c>
      <c r="D8" s="107">
        <f>'04_Risk_Greeks'!C6</f>
        <v>-0.44975254527379216</v>
      </c>
      <c r="E8" s="106">
        <f>'04_Risk_Greeks'!D5</f>
        <v>27.452408721914711</v>
      </c>
      <c r="F8" s="108">
        <f>'04_Risk_Greeks'!D6</f>
        <v>-22.487627263689607</v>
      </c>
    </row>
    <row r="9" spans="2:6" ht="21.75" customHeight="1" x14ac:dyDescent="0.3">
      <c r="B9" s="5" t="s">
        <v>10</v>
      </c>
      <c r="C9" s="109">
        <f>'04_Risk_Greeks'!C7</f>
        <v>4.2358568593122093E-4</v>
      </c>
      <c r="D9" s="109">
        <f>'04_Risk_Greeks'!C7</f>
        <v>4.2358568593122093E-4</v>
      </c>
      <c r="E9" s="109">
        <f>'04_Risk_Greeks'!D7</f>
        <v>2.1179284296561046E-2</v>
      </c>
      <c r="F9" s="110">
        <f>'04_Risk_Greeks'!D7</f>
        <v>2.1179284296561046E-2</v>
      </c>
    </row>
    <row r="10" spans="2:6" ht="21.75" customHeight="1" x14ac:dyDescent="0.3">
      <c r="B10" s="8" t="s">
        <v>11</v>
      </c>
      <c r="C10" s="111">
        <f>'04_Risk_Greeks'!C8</f>
        <v>24.601856638885309</v>
      </c>
      <c r="D10" s="111">
        <f>'04_Risk_Greeks'!C8</f>
        <v>24.601856638885309</v>
      </c>
      <c r="E10" s="111">
        <f>'04_Risk_Greeks'!D8</f>
        <v>1230.0928319442655</v>
      </c>
      <c r="F10" s="112">
        <f>'04_Risk_Greeks'!D8</f>
        <v>1230.0928319442655</v>
      </c>
    </row>
    <row r="11" spans="2:6" ht="21.75" customHeight="1" x14ac:dyDescent="0.3">
      <c r="B11" s="113" t="s">
        <v>12</v>
      </c>
      <c r="C11" s="114">
        <f>'04_Risk_Greeks'!C9</f>
        <v>-8.0583043951974354</v>
      </c>
      <c r="D11" s="115">
        <f>'04_Risk_Greeks'!C10</f>
        <v>-4.7657129851062798</v>
      </c>
      <c r="E11" s="114">
        <f>'04_Risk_Greeks'!D9</f>
        <v>-402.91521975987177</v>
      </c>
      <c r="F11" s="116">
        <f>'04_Risk_Greeks'!D10</f>
        <v>-238.28564925531398</v>
      </c>
    </row>
    <row r="13" spans="2:6" ht="7.5" customHeight="1" x14ac:dyDescent="0.3"/>
    <row r="14" spans="2:6" ht="24" customHeight="1" x14ac:dyDescent="0.3">
      <c r="B14" s="135" t="s">
        <v>13</v>
      </c>
      <c r="C14" s="135"/>
      <c r="D14" s="135"/>
      <c r="E14" s="135"/>
      <c r="F14" s="135"/>
    </row>
    <row r="15" spans="2:6" ht="19.5" customHeight="1" x14ac:dyDescent="0.3">
      <c r="B15" s="14" t="s">
        <v>14</v>
      </c>
      <c r="C15" s="15" t="s">
        <v>15</v>
      </c>
      <c r="D15" s="15" t="s">
        <v>16</v>
      </c>
      <c r="E15" s="15" t="s">
        <v>17</v>
      </c>
      <c r="F15" s="16" t="s">
        <v>18</v>
      </c>
    </row>
    <row r="16" spans="2:6" ht="21.75" customHeight="1" x14ac:dyDescent="0.3">
      <c r="B16" s="117">
        <f>'02_Market_Data'!C6</f>
        <v>22000</v>
      </c>
      <c r="C16" s="118">
        <f>'02_Market_Data'!C7</f>
        <v>22000</v>
      </c>
      <c r="D16" s="119">
        <f>'02_Market_Data'!C8</f>
        <v>0.08</v>
      </c>
      <c r="E16" s="120">
        <f>'02_Market_Data'!C9</f>
        <v>7.0000000000000007E-2</v>
      </c>
      <c r="F16" s="121">
        <f>'02_Market_Data'!C10</f>
        <v>0.15</v>
      </c>
    </row>
    <row r="18" spans="2:8" ht="7.5" customHeight="1" x14ac:dyDescent="0.3"/>
    <row r="19" spans="2:8" ht="24" customHeight="1" x14ac:dyDescent="0.3">
      <c r="B19" s="135" t="s">
        <v>19</v>
      </c>
      <c r="C19" s="135"/>
      <c r="D19" s="135"/>
      <c r="E19" s="135"/>
      <c r="F19" s="135"/>
    </row>
    <row r="20" spans="2:8" ht="24" customHeight="1" x14ac:dyDescent="0.3">
      <c r="B20" s="14" t="s">
        <v>20</v>
      </c>
      <c r="C20" s="15" t="s">
        <v>21</v>
      </c>
      <c r="D20" s="15" t="s">
        <v>22</v>
      </c>
      <c r="E20" s="15" t="s">
        <v>23</v>
      </c>
      <c r="F20" s="16" t="s">
        <v>24</v>
      </c>
      <c r="H20" s="132" t="s">
        <v>120</v>
      </c>
    </row>
    <row r="21" spans="2:8" ht="18" customHeight="1" x14ac:dyDescent="0.3">
      <c r="B21" s="122">
        <f>$B$16*(1+(E21))</f>
        <v>19800</v>
      </c>
      <c r="C21" s="123">
        <f t="shared" ref="C21:C41" si="0">MAX(B21-$C$16,0)*lot_size-$C$7*lot_size</f>
        <v>-21065.176227692882</v>
      </c>
      <c r="D21" s="123">
        <f t="shared" ref="D21:D41" si="1">MAX($C$16-B21,0)*lot_size-$D$7*lot_size</f>
        <v>93758.399606844338</v>
      </c>
      <c r="E21" s="124">
        <f>-0.1</f>
        <v>-0.1</v>
      </c>
      <c r="F21" s="125">
        <f>C21+D21</f>
        <v>72693.223379151459</v>
      </c>
      <c r="H21" s="62">
        <v>0</v>
      </c>
    </row>
    <row r="22" spans="2:8" ht="18" customHeight="1" x14ac:dyDescent="0.3">
      <c r="B22" s="122">
        <f t="shared" ref="B22:B41" si="2">$B$16*(1+(E22))</f>
        <v>20020</v>
      </c>
      <c r="C22" s="123">
        <f t="shared" si="0"/>
        <v>-21065.176227692882</v>
      </c>
      <c r="D22" s="123">
        <f t="shared" si="1"/>
        <v>82758.399606844338</v>
      </c>
      <c r="E22" s="124">
        <f>-0.09</f>
        <v>-0.09</v>
      </c>
      <c r="F22" s="125">
        <f t="shared" ref="F22:F41" si="3">C22+D22</f>
        <v>61693.223379151459</v>
      </c>
      <c r="H22" s="62">
        <v>0</v>
      </c>
    </row>
    <row r="23" spans="2:8" ht="18" customHeight="1" x14ac:dyDescent="0.3">
      <c r="B23" s="122">
        <f t="shared" si="2"/>
        <v>20240</v>
      </c>
      <c r="C23" s="123">
        <f t="shared" si="0"/>
        <v>-21065.176227692882</v>
      </c>
      <c r="D23" s="123">
        <f t="shared" si="1"/>
        <v>71758.399606844338</v>
      </c>
      <c r="E23" s="124">
        <f>-0.08</f>
        <v>-0.08</v>
      </c>
      <c r="F23" s="125">
        <f t="shared" si="3"/>
        <v>50693.223379151459</v>
      </c>
      <c r="H23" s="62">
        <v>0</v>
      </c>
    </row>
    <row r="24" spans="2:8" ht="18" customHeight="1" x14ac:dyDescent="0.3">
      <c r="B24" s="122">
        <f>$B$16*(1+(E24))</f>
        <v>20460</v>
      </c>
      <c r="C24" s="123">
        <f t="shared" si="0"/>
        <v>-21065.176227692882</v>
      </c>
      <c r="D24" s="123">
        <f t="shared" si="1"/>
        <v>60758.399606844338</v>
      </c>
      <c r="E24" s="124">
        <f>-0.07</f>
        <v>-7.0000000000000007E-2</v>
      </c>
      <c r="F24" s="125">
        <f t="shared" si="3"/>
        <v>39693.223379151459</v>
      </c>
      <c r="H24" s="62">
        <v>0</v>
      </c>
    </row>
    <row r="25" spans="2:8" ht="18" customHeight="1" x14ac:dyDescent="0.3">
      <c r="B25" s="122">
        <f t="shared" si="2"/>
        <v>20680</v>
      </c>
      <c r="C25" s="123">
        <f t="shared" si="0"/>
        <v>-21065.176227692882</v>
      </c>
      <c r="D25" s="123">
        <f t="shared" si="1"/>
        <v>49758.399606844338</v>
      </c>
      <c r="E25" s="124">
        <f>-0.06</f>
        <v>-0.06</v>
      </c>
      <c r="F25" s="125">
        <f t="shared" si="3"/>
        <v>28693.223379151455</v>
      </c>
      <c r="H25" s="62">
        <v>0</v>
      </c>
    </row>
    <row r="26" spans="2:8" ht="18" customHeight="1" x14ac:dyDescent="0.3">
      <c r="B26" s="122">
        <f t="shared" si="2"/>
        <v>20900</v>
      </c>
      <c r="C26" s="123">
        <f t="shared" si="0"/>
        <v>-21065.176227692882</v>
      </c>
      <c r="D26" s="123">
        <f t="shared" si="1"/>
        <v>38758.399606844338</v>
      </c>
      <c r="E26" s="124">
        <f>-0.05</f>
        <v>-0.05</v>
      </c>
      <c r="F26" s="125">
        <f t="shared" si="3"/>
        <v>17693.223379151455</v>
      </c>
      <c r="H26" s="62">
        <v>0</v>
      </c>
    </row>
    <row r="27" spans="2:8" ht="18" customHeight="1" x14ac:dyDescent="0.3">
      <c r="B27" s="122">
        <f t="shared" si="2"/>
        <v>21120</v>
      </c>
      <c r="C27" s="123">
        <f t="shared" si="0"/>
        <v>-21065.176227692882</v>
      </c>
      <c r="D27" s="123">
        <f t="shared" si="1"/>
        <v>27758.399606844341</v>
      </c>
      <c r="E27" s="124">
        <f>-0.04</f>
        <v>-0.04</v>
      </c>
      <c r="F27" s="125">
        <f t="shared" si="3"/>
        <v>6693.2233791514591</v>
      </c>
      <c r="H27" s="62">
        <v>0</v>
      </c>
    </row>
    <row r="28" spans="2:8" ht="18" customHeight="1" x14ac:dyDescent="0.3">
      <c r="B28" s="122">
        <f>$B$16*(1+(E28))</f>
        <v>21340</v>
      </c>
      <c r="C28" s="123">
        <f t="shared" si="0"/>
        <v>-21065.176227692882</v>
      </c>
      <c r="D28" s="123">
        <f t="shared" si="1"/>
        <v>16758.399606844341</v>
      </c>
      <c r="E28" s="124">
        <f>-0.03</f>
        <v>-0.03</v>
      </c>
      <c r="F28" s="125">
        <f t="shared" si="3"/>
        <v>-4306.7766208485409</v>
      </c>
      <c r="H28" s="62">
        <v>0</v>
      </c>
    </row>
    <row r="29" spans="2:8" ht="18" customHeight="1" x14ac:dyDescent="0.3">
      <c r="B29" s="122">
        <f>$B$16*(1+(E29))</f>
        <v>21560</v>
      </c>
      <c r="C29" s="123">
        <f t="shared" si="0"/>
        <v>-21065.176227692882</v>
      </c>
      <c r="D29" s="123">
        <f t="shared" si="1"/>
        <v>5758.3996068443412</v>
      </c>
      <c r="E29" s="124">
        <f>-0.02</f>
        <v>-0.02</v>
      </c>
      <c r="F29" s="125">
        <f t="shared" si="3"/>
        <v>-15306.776620848541</v>
      </c>
      <c r="H29" s="62">
        <v>0</v>
      </c>
    </row>
    <row r="30" spans="2:8" ht="18" customHeight="1" x14ac:dyDescent="0.3">
      <c r="B30" s="122">
        <f t="shared" si="2"/>
        <v>21780</v>
      </c>
      <c r="C30" s="123">
        <f t="shared" si="0"/>
        <v>-21065.176227692882</v>
      </c>
      <c r="D30" s="123">
        <f t="shared" si="1"/>
        <v>-5241.6003931556588</v>
      </c>
      <c r="E30" s="124">
        <f>-0.01</f>
        <v>-0.01</v>
      </c>
      <c r="F30" s="125">
        <f t="shared" si="3"/>
        <v>-26306.776620848541</v>
      </c>
      <c r="H30" s="62">
        <v>0</v>
      </c>
    </row>
    <row r="31" spans="2:8" ht="18" customHeight="1" x14ac:dyDescent="0.3">
      <c r="B31" s="130">
        <f>$B$16*(1+(E31))</f>
        <v>22000</v>
      </c>
      <c r="C31" s="126">
        <f t="shared" si="0"/>
        <v>-21065.176227692882</v>
      </c>
      <c r="D31" s="126">
        <f t="shared" si="1"/>
        <v>-16241.600393155659</v>
      </c>
      <c r="E31" s="127">
        <f>0</f>
        <v>0</v>
      </c>
      <c r="F31" s="125">
        <f t="shared" si="3"/>
        <v>-37306.776620848541</v>
      </c>
      <c r="H31" s="62">
        <v>0</v>
      </c>
    </row>
    <row r="32" spans="2:8" ht="18" customHeight="1" x14ac:dyDescent="0.3">
      <c r="B32" s="130">
        <f t="shared" si="2"/>
        <v>22220</v>
      </c>
      <c r="C32" s="126">
        <f t="shared" si="0"/>
        <v>-10065.176227692882</v>
      </c>
      <c r="D32" s="126">
        <f t="shared" si="1"/>
        <v>-16241.600393155659</v>
      </c>
      <c r="E32" s="127">
        <f>0.01</f>
        <v>0.01</v>
      </c>
      <c r="F32" s="125">
        <f t="shared" si="3"/>
        <v>-26306.776620848541</v>
      </c>
      <c r="H32" s="62">
        <v>0</v>
      </c>
    </row>
    <row r="33" spans="2:8" ht="18" customHeight="1" x14ac:dyDescent="0.3">
      <c r="B33" s="130">
        <f t="shared" si="2"/>
        <v>22440</v>
      </c>
      <c r="C33" s="126">
        <f t="shared" si="0"/>
        <v>934.82377230711791</v>
      </c>
      <c r="D33" s="126">
        <f t="shared" si="1"/>
        <v>-16241.600393155659</v>
      </c>
      <c r="E33" s="127">
        <f>0.02</f>
        <v>0.02</v>
      </c>
      <c r="F33" s="125">
        <f t="shared" si="3"/>
        <v>-15306.776620848541</v>
      </c>
      <c r="H33" s="62">
        <v>0</v>
      </c>
    </row>
    <row r="34" spans="2:8" ht="18" customHeight="1" x14ac:dyDescent="0.3">
      <c r="B34" s="130">
        <f t="shared" si="2"/>
        <v>22660</v>
      </c>
      <c r="C34" s="126">
        <f t="shared" si="0"/>
        <v>11934.823772307118</v>
      </c>
      <c r="D34" s="126">
        <f t="shared" si="1"/>
        <v>-16241.600393155659</v>
      </c>
      <c r="E34" s="127">
        <f>0.03</f>
        <v>0.03</v>
      </c>
      <c r="F34" s="125">
        <f t="shared" si="3"/>
        <v>-4306.7766208485409</v>
      </c>
      <c r="H34" s="62">
        <v>0</v>
      </c>
    </row>
    <row r="35" spans="2:8" ht="18" customHeight="1" x14ac:dyDescent="0.3">
      <c r="B35" s="130">
        <f t="shared" si="2"/>
        <v>22880</v>
      </c>
      <c r="C35" s="126">
        <f t="shared" si="0"/>
        <v>22934.823772307118</v>
      </c>
      <c r="D35" s="126">
        <f t="shared" si="1"/>
        <v>-16241.600393155659</v>
      </c>
      <c r="E35" s="127">
        <f>0.04</f>
        <v>0.04</v>
      </c>
      <c r="F35" s="125">
        <f t="shared" si="3"/>
        <v>6693.2233791514591</v>
      </c>
      <c r="H35" s="62">
        <v>0</v>
      </c>
    </row>
    <row r="36" spans="2:8" ht="18" customHeight="1" x14ac:dyDescent="0.3">
      <c r="B36" s="130">
        <f t="shared" si="2"/>
        <v>23100</v>
      </c>
      <c r="C36" s="126">
        <f t="shared" si="0"/>
        <v>33934.823772307122</v>
      </c>
      <c r="D36" s="126">
        <f t="shared" si="1"/>
        <v>-16241.600393155659</v>
      </c>
      <c r="E36" s="127">
        <f>0.05</f>
        <v>0.05</v>
      </c>
      <c r="F36" s="125">
        <f t="shared" si="3"/>
        <v>17693.223379151463</v>
      </c>
      <c r="H36" s="62">
        <v>0</v>
      </c>
    </row>
    <row r="37" spans="2:8" ht="18" customHeight="1" x14ac:dyDescent="0.3">
      <c r="B37" s="130">
        <f t="shared" si="2"/>
        <v>23320</v>
      </c>
      <c r="C37" s="126">
        <f t="shared" si="0"/>
        <v>44934.823772307122</v>
      </c>
      <c r="D37" s="126">
        <f t="shared" si="1"/>
        <v>-16241.600393155659</v>
      </c>
      <c r="E37" s="127">
        <f>0.06</f>
        <v>0.06</v>
      </c>
      <c r="F37" s="125">
        <f t="shared" si="3"/>
        <v>28693.223379151463</v>
      </c>
      <c r="H37" s="62">
        <v>0</v>
      </c>
    </row>
    <row r="38" spans="2:8" ht="18" customHeight="1" x14ac:dyDescent="0.3">
      <c r="B38" s="130">
        <f t="shared" si="2"/>
        <v>23540</v>
      </c>
      <c r="C38" s="126">
        <f t="shared" si="0"/>
        <v>55934.823772307122</v>
      </c>
      <c r="D38" s="126">
        <f t="shared" si="1"/>
        <v>-16241.600393155659</v>
      </c>
      <c r="E38" s="127">
        <f>0.07</f>
        <v>7.0000000000000007E-2</v>
      </c>
      <c r="F38" s="125">
        <f t="shared" si="3"/>
        <v>39693.223379151459</v>
      </c>
      <c r="H38" s="62">
        <v>0</v>
      </c>
    </row>
    <row r="39" spans="2:8" ht="18" customHeight="1" x14ac:dyDescent="0.3">
      <c r="B39" s="130">
        <f t="shared" si="2"/>
        <v>23760</v>
      </c>
      <c r="C39" s="126">
        <f t="shared" si="0"/>
        <v>66934.823772307122</v>
      </c>
      <c r="D39" s="126">
        <f t="shared" si="1"/>
        <v>-16241.600393155659</v>
      </c>
      <c r="E39" s="127">
        <f>0.08</f>
        <v>0.08</v>
      </c>
      <c r="F39" s="125">
        <f t="shared" si="3"/>
        <v>50693.223379151459</v>
      </c>
      <c r="H39" s="62">
        <v>0</v>
      </c>
    </row>
    <row r="40" spans="2:8" ht="18" customHeight="1" x14ac:dyDescent="0.3">
      <c r="B40" s="130">
        <f t="shared" si="2"/>
        <v>23980</v>
      </c>
      <c r="C40" s="126">
        <f t="shared" si="0"/>
        <v>77934.823772307122</v>
      </c>
      <c r="D40" s="126">
        <f t="shared" si="1"/>
        <v>-16241.600393155659</v>
      </c>
      <c r="E40" s="127">
        <f>0.09</f>
        <v>0.09</v>
      </c>
      <c r="F40" s="125">
        <f t="shared" si="3"/>
        <v>61693.223379151459</v>
      </c>
      <c r="H40" s="62">
        <v>0</v>
      </c>
    </row>
    <row r="41" spans="2:8" ht="18" customHeight="1" thickBot="1" x14ac:dyDescent="0.35">
      <c r="B41" s="131">
        <f t="shared" si="2"/>
        <v>24200.000000000004</v>
      </c>
      <c r="C41" s="128">
        <f t="shared" si="0"/>
        <v>88934.823772307296</v>
      </c>
      <c r="D41" s="128">
        <f t="shared" si="1"/>
        <v>-16241.600393155659</v>
      </c>
      <c r="E41" s="129">
        <f>0.1</f>
        <v>0.1</v>
      </c>
      <c r="F41" s="125">
        <f t="shared" si="3"/>
        <v>72693.223379151634</v>
      </c>
      <c r="H41" s="62">
        <v>0</v>
      </c>
    </row>
  </sheetData>
  <mergeCells count="5">
    <mergeCell ref="B2:F2"/>
    <mergeCell ref="B3:F3"/>
    <mergeCell ref="B5:F5"/>
    <mergeCell ref="B14:F14"/>
    <mergeCell ref="B19:F19"/>
  </mergeCells>
  <pageMargins left="0.75" right="0.75" top="1" bottom="1" header="0.511811023622047" footer="0.511811023622047"/>
  <pageSetup paperSize="9" orientation="landscape"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B2:D12"/>
  <sheetViews>
    <sheetView showGridLines="0" zoomScaleNormal="100" workbookViewId="0">
      <selection activeCell="C7" sqref="C7"/>
    </sheetView>
  </sheetViews>
  <sheetFormatPr defaultColWidth="8.6640625" defaultRowHeight="14.4" x14ac:dyDescent="0.3"/>
  <cols>
    <col min="1" max="1" width="3" style="1" customWidth="1"/>
    <col min="2" max="2" width="36" style="1" customWidth="1"/>
    <col min="3" max="3" width="22" style="1" customWidth="1"/>
    <col min="4" max="4" width="32" style="1" customWidth="1"/>
    <col min="5" max="5" width="3" style="1" customWidth="1"/>
    <col min="6" max="16384" width="8.6640625" style="1"/>
  </cols>
  <sheetData>
    <row r="2" spans="2:4" ht="33.75" customHeight="1" x14ac:dyDescent="0.3">
      <c r="B2" s="136" t="s">
        <v>25</v>
      </c>
      <c r="C2" s="136"/>
      <c r="D2" s="136"/>
    </row>
    <row r="3" spans="2:4" ht="15" customHeight="1" x14ac:dyDescent="0.3">
      <c r="B3" s="134" t="s">
        <v>26</v>
      </c>
      <c r="C3" s="134"/>
      <c r="D3" s="134"/>
    </row>
    <row r="5" spans="2:4" ht="24" customHeight="1" x14ac:dyDescent="0.3">
      <c r="B5" s="2" t="s">
        <v>27</v>
      </c>
      <c r="C5" s="3" t="s">
        <v>28</v>
      </c>
      <c r="D5" s="4" t="s">
        <v>29</v>
      </c>
    </row>
    <row r="6" spans="2:4" ht="21.75" customHeight="1" x14ac:dyDescent="0.3">
      <c r="B6" s="5" t="s">
        <v>30</v>
      </c>
      <c r="C6" s="6">
        <f>'05_Sensitivity_Matrix'!O9</f>
        <v>22000</v>
      </c>
      <c r="D6" s="7" t="s">
        <v>31</v>
      </c>
    </row>
    <row r="7" spans="2:4" ht="21.75" customHeight="1" x14ac:dyDescent="0.3">
      <c r="B7" s="8" t="s">
        <v>32</v>
      </c>
      <c r="C7" s="6">
        <v>22000</v>
      </c>
      <c r="D7" s="9" t="s">
        <v>33</v>
      </c>
    </row>
    <row r="8" spans="2:4" ht="21.75" customHeight="1" x14ac:dyDescent="0.3">
      <c r="B8" s="5" t="s">
        <v>34</v>
      </c>
      <c r="C8" s="60">
        <f>'05_Sensitivity_Matrix'!O10</f>
        <v>0.08</v>
      </c>
      <c r="D8" s="7" t="s">
        <v>35</v>
      </c>
    </row>
    <row r="9" spans="2:4" ht="21.75" customHeight="1" x14ac:dyDescent="0.3">
      <c r="B9" s="8" t="s">
        <v>36</v>
      </c>
      <c r="C9" s="10">
        <v>7.0000000000000007E-2</v>
      </c>
      <c r="D9" s="9" t="s">
        <v>37</v>
      </c>
    </row>
    <row r="10" spans="2:4" ht="21.75" customHeight="1" x14ac:dyDescent="0.3">
      <c r="B10" s="5" t="s">
        <v>38</v>
      </c>
      <c r="C10" s="10">
        <f>'05_Sensitivity_Matrix'!O8</f>
        <v>0.15</v>
      </c>
      <c r="D10" s="7" t="s">
        <v>39</v>
      </c>
    </row>
    <row r="11" spans="2:4" ht="21.75" customHeight="1" x14ac:dyDescent="0.3">
      <c r="B11" s="8" t="s">
        <v>40</v>
      </c>
      <c r="C11" s="10">
        <v>1.4999999999999999E-2</v>
      </c>
      <c r="D11" s="9" t="s">
        <v>41</v>
      </c>
    </row>
    <row r="12" spans="2:4" ht="21.75" customHeight="1" x14ac:dyDescent="0.3">
      <c r="B12" s="11" t="s">
        <v>42</v>
      </c>
      <c r="C12" s="12">
        <v>50</v>
      </c>
      <c r="D12" s="13" t="s">
        <v>43</v>
      </c>
    </row>
  </sheetData>
  <mergeCells count="2">
    <mergeCell ref="B2:D2"/>
    <mergeCell ref="B3:D3"/>
  </mergeCells>
  <pageMargins left="0.75" right="0.75" top="1" bottom="1"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B2:T21"/>
  <sheetViews>
    <sheetView showGridLines="0" topLeftCell="A3" zoomScaleNormal="100" workbookViewId="0">
      <selection activeCell="C3" sqref="C1:C1048576"/>
    </sheetView>
  </sheetViews>
  <sheetFormatPr defaultColWidth="8.6640625" defaultRowHeight="14.4" x14ac:dyDescent="0.3"/>
  <cols>
    <col min="1" max="1" width="3" style="1" customWidth="1"/>
    <col min="2" max="2" width="40" style="1" customWidth="1"/>
    <col min="3" max="3" width="26" style="1" customWidth="1"/>
    <col min="4" max="4" width="30" style="1" customWidth="1"/>
    <col min="5" max="5" width="3" style="1" customWidth="1"/>
    <col min="6" max="16384" width="8.6640625" style="1"/>
  </cols>
  <sheetData>
    <row r="2" spans="2:20" ht="33.75" customHeight="1" x14ac:dyDescent="0.3">
      <c r="B2" s="137" t="s">
        <v>44</v>
      </c>
      <c r="C2" s="137"/>
      <c r="D2" s="137"/>
    </row>
    <row r="4" spans="2:20" ht="24" customHeight="1" x14ac:dyDescent="0.3">
      <c r="B4" s="135" t="s">
        <v>45</v>
      </c>
      <c r="C4" s="135"/>
      <c r="D4" s="135"/>
    </row>
    <row r="5" spans="2:20" ht="24" customHeight="1" x14ac:dyDescent="0.3">
      <c r="B5" s="14" t="s">
        <v>46</v>
      </c>
      <c r="C5" s="15" t="s">
        <v>28</v>
      </c>
      <c r="D5" s="16" t="s">
        <v>110</v>
      </c>
    </row>
    <row r="6" spans="2:20" ht="21.75" customHeight="1" x14ac:dyDescent="0.3">
      <c r="B6" s="5" t="s">
        <v>47</v>
      </c>
      <c r="C6" s="35">
        <f>(LN(spot_price/strike_price)+(risk_free_rate-dividend_yield+(implied_volatlity^2)/2)*time_to_maturity)/(implied_volatlity*SQRT(time_to_maturity))</f>
        <v>0.12492219800962341</v>
      </c>
      <c r="D6" s="37">
        <f>_xlfn.NORM.S.DIST(bs_d1,TRUE)</f>
        <v>0.54970742772047909</v>
      </c>
      <c r="F6" s="38">
        <v>0.54970742772047898</v>
      </c>
      <c r="G6" s="17"/>
      <c r="H6" s="17"/>
      <c r="I6" s="17"/>
      <c r="J6" s="17"/>
      <c r="K6" s="17"/>
      <c r="L6" s="17"/>
      <c r="M6" s="17"/>
      <c r="N6" s="17"/>
      <c r="O6" s="17"/>
      <c r="P6" s="17"/>
      <c r="Q6" s="17"/>
      <c r="R6" s="17"/>
      <c r="S6" s="17"/>
      <c r="T6" s="17"/>
    </row>
    <row r="7" spans="2:20" ht="21.75" customHeight="1" x14ac:dyDescent="0.3">
      <c r="B7" s="8" t="s">
        <v>48</v>
      </c>
      <c r="C7" s="36">
        <f>C6-(implied_volatlity*SQRT(time_to_maturity))</f>
        <v>8.2495791138430558E-2</v>
      </c>
      <c r="D7" s="37">
        <f>_xlfn.NORM.S.DIST(bs_d2,TRUE)</f>
        <v>0.53287376744335868</v>
      </c>
      <c r="F7" s="38">
        <v>0.53287376744335901</v>
      </c>
      <c r="G7" s="18"/>
      <c r="H7" s="17"/>
      <c r="I7" s="17"/>
      <c r="J7" s="17"/>
      <c r="K7" s="17"/>
      <c r="L7" s="17"/>
      <c r="M7" s="17"/>
      <c r="N7" s="17"/>
      <c r="O7" s="17"/>
      <c r="P7" s="17"/>
      <c r="Q7" s="17"/>
      <c r="R7" s="17"/>
      <c r="S7" s="17"/>
      <c r="T7" s="17"/>
    </row>
    <row r="8" spans="2:20" ht="15" thickBot="1" x14ac:dyDescent="0.35">
      <c r="B8" s="19"/>
      <c r="C8" s="20"/>
      <c r="D8" s="21"/>
    </row>
    <row r="9" spans="2:20" ht="24" customHeight="1" x14ac:dyDescent="0.3">
      <c r="B9" s="135" t="s">
        <v>49</v>
      </c>
      <c r="C9" s="135"/>
      <c r="D9" s="135"/>
    </row>
    <row r="10" spans="2:20" ht="24" customHeight="1" x14ac:dyDescent="0.3">
      <c r="B10" s="14" t="s">
        <v>3</v>
      </c>
      <c r="C10" s="15" t="s">
        <v>50</v>
      </c>
      <c r="D10" s="16" t="s">
        <v>51</v>
      </c>
      <c r="H10" s="22"/>
    </row>
    <row r="11" spans="2:20" ht="24" customHeight="1" x14ac:dyDescent="0.3">
      <c r="B11" s="23" t="s">
        <v>52</v>
      </c>
      <c r="C11" s="24">
        <f>spot_price * EXP(-dividend_yield * time_to_maturity) *n_d1 - strike_price * EXP(-risk_free_rate * time_to_maturity) *n_d2</f>
        <v>421.30352455385764</v>
      </c>
      <c r="D11" s="24">
        <f>C11*lot_size</f>
        <v>21065.176227692882</v>
      </c>
      <c r="F11" t="s">
        <v>111</v>
      </c>
      <c r="H11" s="22"/>
    </row>
    <row r="12" spans="2:20" ht="24" customHeight="1" thickBot="1" x14ac:dyDescent="0.35">
      <c r="B12" s="25" t="s">
        <v>53</v>
      </c>
      <c r="C12" s="26">
        <f>strike_price*EXP(-risk_free_rate*time_to_maturity)*(1-n_d2) -spot_price*EXP(-dividend_yield*time_to_maturity)*(1-n_d1)</f>
        <v>324.83200786311318</v>
      </c>
      <c r="D12" s="27">
        <f>C12*lot_size</f>
        <v>16241.600393155659</v>
      </c>
    </row>
    <row r="14" spans="2:20" ht="24" customHeight="1" x14ac:dyDescent="0.3">
      <c r="B14" s="135" t="s">
        <v>54</v>
      </c>
      <c r="C14" s="135"/>
      <c r="D14" s="135"/>
    </row>
    <row r="15" spans="2:20" ht="21.75" customHeight="1" x14ac:dyDescent="0.3">
      <c r="B15" s="14" t="s">
        <v>55</v>
      </c>
      <c r="C15" s="15" t="s">
        <v>56</v>
      </c>
      <c r="D15" s="16" t="s">
        <v>57</v>
      </c>
    </row>
    <row r="16" spans="2:20" ht="19.5" customHeight="1" x14ac:dyDescent="0.3">
      <c r="B16" s="8" t="s">
        <v>58</v>
      </c>
      <c r="C16" s="28">
        <f>C11-C12</f>
        <v>96.471516690744465</v>
      </c>
      <c r="D16" s="29" t="s">
        <v>59</v>
      </c>
    </row>
    <row r="17" spans="2:4" ht="19.5" customHeight="1" x14ac:dyDescent="0.3">
      <c r="B17" s="5" t="s">
        <v>60</v>
      </c>
      <c r="C17" s="30">
        <f>spot_price * EXP(-dividend_yield * time_to_maturity) - strike_price * EXP(-risk_free_rate * time_to_maturity)</f>
        <v>96.471516690744465</v>
      </c>
      <c r="D17" s="31" t="s">
        <v>61</v>
      </c>
    </row>
    <row r="18" spans="2:4" ht="19.5" customHeight="1" x14ac:dyDescent="0.3">
      <c r="B18" s="32" t="s">
        <v>62</v>
      </c>
      <c r="C18" s="33">
        <f>C16-C17</f>
        <v>0</v>
      </c>
      <c r="D18" s="34" t="s">
        <v>63</v>
      </c>
    </row>
    <row r="21" spans="2:4" ht="21.75" customHeight="1" x14ac:dyDescent="0.3">
      <c r="B21" s="138"/>
      <c r="C21" s="138"/>
      <c r="D21" s="138"/>
    </row>
  </sheetData>
  <mergeCells count="5">
    <mergeCell ref="B2:D2"/>
    <mergeCell ref="B4:D4"/>
    <mergeCell ref="B9:D9"/>
    <mergeCell ref="B14:D14"/>
    <mergeCell ref="B21:D21"/>
  </mergeCells>
  <pageMargins left="0.75" right="0.75" top="1" bottom="1" header="0.511811023622047" footer="0.511811023622047"/>
  <pageSetup paperSize="9" orientation="landscape"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N17"/>
  <sheetViews>
    <sheetView showGridLines="0" tabSelected="1" zoomScaleNormal="100" workbookViewId="0">
      <selection activeCell="M9" sqref="M9"/>
    </sheetView>
  </sheetViews>
  <sheetFormatPr defaultColWidth="8.6640625" defaultRowHeight="14.4" x14ac:dyDescent="0.3"/>
  <cols>
    <col min="1" max="1" width="3" style="39" customWidth="1"/>
    <col min="2" max="2" width="36" style="39" customWidth="1"/>
    <col min="3" max="3" width="20" style="39" customWidth="1"/>
    <col min="4" max="4" width="24" style="39" customWidth="1"/>
    <col min="5" max="5" width="4.44140625" style="39" customWidth="1"/>
    <col min="6" max="6" width="17.44140625" customWidth="1"/>
    <col min="7" max="7" width="14.6640625" style="39" bestFit="1" customWidth="1"/>
    <col min="8" max="8" width="9.33203125" style="39" bestFit="1" customWidth="1"/>
    <col min="9" max="9" width="9.21875" style="39" bestFit="1" customWidth="1"/>
    <col min="10" max="10" width="20.6640625" style="39" bestFit="1" customWidth="1"/>
    <col min="11" max="11" width="14.6640625" style="39" bestFit="1" customWidth="1"/>
    <col min="12" max="12" width="9.33203125" style="39" bestFit="1" customWidth="1"/>
    <col min="13" max="16384" width="8.6640625" style="39"/>
  </cols>
  <sheetData>
    <row r="2" spans="2:14" ht="33.75" customHeight="1" x14ac:dyDescent="0.3">
      <c r="B2" s="146" t="s">
        <v>64</v>
      </c>
      <c r="C2" s="146"/>
      <c r="D2" s="146"/>
      <c r="E2" s="146"/>
      <c r="G2"/>
      <c r="H2"/>
      <c r="I2"/>
      <c r="J2"/>
      <c r="K2"/>
      <c r="L2"/>
      <c r="M2"/>
      <c r="N2"/>
    </row>
    <row r="3" spans="2:14" ht="15" thickBot="1" x14ac:dyDescent="0.35">
      <c r="G3"/>
      <c r="H3"/>
      <c r="I3"/>
      <c r="J3"/>
      <c r="K3"/>
      <c r="L3"/>
      <c r="M3"/>
      <c r="N3"/>
    </row>
    <row r="4" spans="2:14" ht="24" customHeight="1" x14ac:dyDescent="0.3">
      <c r="B4" s="40" t="s">
        <v>65</v>
      </c>
      <c r="C4" s="41" t="s">
        <v>66</v>
      </c>
      <c r="D4" s="41" t="s">
        <v>67</v>
      </c>
      <c r="E4"/>
      <c r="F4" s="140" t="s">
        <v>121</v>
      </c>
      <c r="G4" s="141"/>
      <c r="H4" s="141"/>
      <c r="J4" s="140" t="s">
        <v>122</v>
      </c>
      <c r="K4" s="141"/>
      <c r="L4" s="141"/>
      <c r="M4"/>
      <c r="N4"/>
    </row>
    <row r="5" spans="2:14" ht="21.75" customHeight="1" x14ac:dyDescent="0.3">
      <c r="B5" s="42" t="s">
        <v>68</v>
      </c>
      <c r="C5" s="43">
        <f>EXP(-dividend_yield * time_to_maturity) * n_d1</f>
        <v>0.54904817443829423</v>
      </c>
      <c r="D5" s="58">
        <f t="shared" ref="D5:D12" si="0">C5*lot_size</f>
        <v>27.452408721914711</v>
      </c>
      <c r="E5"/>
      <c r="F5" s="39" t="s">
        <v>65</v>
      </c>
      <c r="G5" s="44" t="s">
        <v>123</v>
      </c>
      <c r="H5" s="39" t="s">
        <v>124</v>
      </c>
      <c r="J5" s="39" t="s">
        <v>65</v>
      </c>
      <c r="K5" s="44" t="s">
        <v>123</v>
      </c>
      <c r="L5" s="39" t="s">
        <v>124</v>
      </c>
      <c r="M5"/>
      <c r="N5"/>
    </row>
    <row r="6" spans="2:14" ht="21.75" customHeight="1" x14ac:dyDescent="0.3">
      <c r="B6" s="45" t="s">
        <v>69</v>
      </c>
      <c r="C6" s="46">
        <f>-EXP(-dividend_yield * time_to_maturity) * _xlfn.NORM.S.DIST(-bs_d1, TRUE)</f>
        <v>-0.44975254527379216</v>
      </c>
      <c r="D6" s="58">
        <f t="shared" si="0"/>
        <v>-22.487627263689607</v>
      </c>
      <c r="E6"/>
      <c r="F6" s="39" t="s">
        <v>68</v>
      </c>
      <c r="G6" s="142">
        <f>D5 * $C$15</f>
        <v>2745.2408721914712</v>
      </c>
      <c r="H6" s="143">
        <f>G6/$G$10</f>
        <v>0.55929356704589395</v>
      </c>
      <c r="J6" s="56" t="s">
        <v>69</v>
      </c>
      <c r="K6" s="142">
        <f>D6 * $C$15</f>
        <v>-2248.7627263689606</v>
      </c>
      <c r="L6" s="143">
        <f>ABS(K6)/(ABS($K$6)+ABS($K$7)+ABS($K$8)+ABS($K$9))</f>
        <v>0.44502368259177899</v>
      </c>
      <c r="M6"/>
      <c r="N6"/>
    </row>
    <row r="7" spans="2:14" ht="21.75" customHeight="1" x14ac:dyDescent="0.3">
      <c r="B7" s="47" t="s">
        <v>70</v>
      </c>
      <c r="C7" s="55">
        <f>(EXP(-dividend_yield * time_to_maturity) * _xlfn.NORM.S.DIST(bs_d1, FALSE)) / (spot_price * implied_volatlity * SQRT(time_to_maturity))</f>
        <v>4.2358568593122093E-4</v>
      </c>
      <c r="D7" s="58">
        <f t="shared" si="0"/>
        <v>2.1179284296561046E-2</v>
      </c>
      <c r="E7"/>
      <c r="F7" s="39" t="s">
        <v>70</v>
      </c>
      <c r="G7" s="142">
        <f>0.5 * $D$7 * ($C$15^2)</f>
        <v>105.89642148280524</v>
      </c>
      <c r="H7" s="144">
        <f t="shared" ref="H7:H9" si="1">G7/$G$10</f>
        <v>2.1574495669384994E-2</v>
      </c>
      <c r="J7" s="56" t="s">
        <v>70</v>
      </c>
      <c r="K7" s="142">
        <f>0.5 * $D$7 * ($C$15^2)</f>
        <v>105.89642148280524</v>
      </c>
      <c r="L7" s="143">
        <f t="shared" ref="L7:L9" si="2">ABS(K7)/(ABS($K$6)+ABS($K$7)+ABS($K$8)+ABS($K$9))</f>
        <v>2.095659755872217E-2</v>
      </c>
      <c r="M7"/>
      <c r="N7"/>
    </row>
    <row r="8" spans="2:14" ht="21.75" customHeight="1" x14ac:dyDescent="0.3">
      <c r="B8" s="48" t="s">
        <v>71</v>
      </c>
      <c r="C8" s="49">
        <f>(spot_price * EXP(-dividend_yield * time_to_maturity) * SQRT(time_to_maturity) * _xlfn.NORM.S.DIST(bs_d1, FALSE)) / 100</f>
        <v>24.601856638885309</v>
      </c>
      <c r="D8" s="58">
        <f t="shared" si="0"/>
        <v>1230.0928319442655</v>
      </c>
      <c r="E8"/>
      <c r="F8" s="39" t="s">
        <v>71</v>
      </c>
      <c r="G8" s="142">
        <f>$D$8 * $C$16</f>
        <v>2460.1856638885311</v>
      </c>
      <c r="H8" s="144">
        <f t="shared" si="1"/>
        <v>0.50121868339115216</v>
      </c>
      <c r="J8" s="56" t="s">
        <v>71</v>
      </c>
      <c r="K8" s="142">
        <f>$D$8 * $C$16</f>
        <v>2460.1856638885311</v>
      </c>
      <c r="L8" s="143">
        <f t="shared" si="2"/>
        <v>0.4868636744842334</v>
      </c>
      <c r="M8"/>
      <c r="N8"/>
    </row>
    <row r="9" spans="2:14" ht="21.75" customHeight="1" x14ac:dyDescent="0.3">
      <c r="B9" s="42" t="s">
        <v>72</v>
      </c>
      <c r="C9" s="50">
        <f>(-EXP(-dividend_yield * time_to_maturity) * (spot_price * _xlfn.NORM.S.DIST(bs_d1, FALSE) * implied_volatlity) / (2 * SQRT(time_to_maturity)) - risk_free_rate * strike_price * EXP(-risk_free_rate * time_to_maturity) * n_d2 + dividend_yield * spot_price * EXP(-dividend_yield * time_to_maturity) * n_d1) / 365</f>
        <v>-8.0583043951974354</v>
      </c>
      <c r="D9" s="58">
        <f t="shared" si="0"/>
        <v>-402.91521975987177</v>
      </c>
      <c r="E9"/>
      <c r="F9" s="39" t="s">
        <v>72</v>
      </c>
      <c r="G9" s="142">
        <f>D9 * $C$17</f>
        <v>-402.91521975987177</v>
      </c>
      <c r="H9" s="144">
        <f t="shared" si="1"/>
        <v>-8.2086746106431172E-2</v>
      </c>
      <c r="J9" s="56" t="s">
        <v>73</v>
      </c>
      <c r="K9" s="142">
        <f>D10 * $C$17</f>
        <v>-238.28564925531398</v>
      </c>
      <c r="L9" s="143">
        <f t="shared" si="2"/>
        <v>4.7156045365265499E-2</v>
      </c>
      <c r="M9"/>
      <c r="N9"/>
    </row>
    <row r="10" spans="2:14" ht="21.75" customHeight="1" x14ac:dyDescent="0.3">
      <c r="B10" s="45" t="s">
        <v>73</v>
      </c>
      <c r="C10" s="51">
        <f>(-EXP(-dividend_yield * time_to_maturity) * (spot_price * _xlfn.NORM.S.DIST(bs_d1, FALSE) * implied_volatlity) / (2 * SQRT(time_to_maturity)) + risk_free_rate * strike_price * EXP(-risk_free_rate * time_to_maturity) * _xlfn.NORM.S.DIST(-bs_d2, TRUE) - dividend_yield * spot_price * EXP(-dividend_yield * time_to_maturity) * _xlfn.NORM.S.DIST(-bs_d1, TRUE)) / 365</f>
        <v>-4.7657129851062798</v>
      </c>
      <c r="D10" s="58">
        <f t="shared" si="0"/>
        <v>-238.28564925531398</v>
      </c>
      <c r="E10"/>
      <c r="F10" s="39" t="s">
        <v>125</v>
      </c>
      <c r="G10" s="145">
        <f>SUM(G7:G9,G6)</f>
        <v>4908.407737802936</v>
      </c>
      <c r="H10" s="143">
        <f>SUM(H6:H9)</f>
        <v>1</v>
      </c>
      <c r="J10" s="39" t="s">
        <v>126</v>
      </c>
      <c r="K10" s="145">
        <f>SUM(K7:K9,K6)</f>
        <v>79.033709747061494</v>
      </c>
      <c r="L10" s="143">
        <f>SUM(L6:L9)</f>
        <v>1</v>
      </c>
      <c r="M10"/>
      <c r="N10"/>
    </row>
    <row r="11" spans="2:14" ht="21.75" customHeight="1" x14ac:dyDescent="0.3">
      <c r="B11" s="47" t="s">
        <v>74</v>
      </c>
      <c r="C11" s="52">
        <f>(strike_price * time_to_maturity * EXP(-risk_free_rate * time_to_maturity) * n_d2) / 100</f>
        <v>9.3262050504708913</v>
      </c>
      <c r="D11" s="58">
        <f t="shared" si="0"/>
        <v>466.31025252354459</v>
      </c>
      <c r="E11"/>
      <c r="G11"/>
      <c r="H11"/>
      <c r="I11"/>
      <c r="J11"/>
      <c r="K11"/>
      <c r="L11"/>
      <c r="M11"/>
      <c r="N11"/>
    </row>
    <row r="12" spans="2:14" ht="21.75" customHeight="1" thickBot="1" x14ac:dyDescent="0.35">
      <c r="B12" s="53" t="s">
        <v>75</v>
      </c>
      <c r="C12" s="54">
        <f>(-strike_price * time_to_maturity * EXP(-risk_free_rate * time_to_maturity) * _xlfn.NORM.S.DIST(-bs_d2, TRUE)) / 100</f>
        <v>-8.1755104031092323</v>
      </c>
      <c r="D12" s="59">
        <f t="shared" si="0"/>
        <v>-408.77552015546161</v>
      </c>
      <c r="E12"/>
      <c r="G12"/>
      <c r="H12"/>
      <c r="I12"/>
      <c r="J12"/>
      <c r="K12"/>
      <c r="L12"/>
      <c r="M12"/>
      <c r="N12"/>
    </row>
    <row r="14" spans="2:14" ht="15.6" x14ac:dyDescent="0.3">
      <c r="B14" s="102" t="s">
        <v>112</v>
      </c>
    </row>
    <row r="15" spans="2:14" x14ac:dyDescent="0.3">
      <c r="B15" s="39" t="s">
        <v>113</v>
      </c>
      <c r="C15" s="39">
        <v>100</v>
      </c>
    </row>
    <row r="16" spans="2:14" x14ac:dyDescent="0.3">
      <c r="B16" s="39" t="s">
        <v>114</v>
      </c>
      <c r="C16" s="57">
        <v>2</v>
      </c>
    </row>
    <row r="17" spans="2:3" x14ac:dyDescent="0.3">
      <c r="B17" s="39" t="s">
        <v>115</v>
      </c>
      <c r="C17" s="39">
        <v>1</v>
      </c>
    </row>
  </sheetData>
  <mergeCells count="2">
    <mergeCell ref="F4:H4"/>
    <mergeCell ref="J4:L4"/>
  </mergeCells>
  <conditionalFormatting sqref="H6:H10">
    <cfRule type="colorScale" priority="2">
      <colorScale>
        <cfvo type="min"/>
        <cfvo type="percentile" val="50"/>
        <cfvo type="max"/>
        <color rgb="FFF8696B"/>
        <color rgb="FFFFEB84"/>
        <color rgb="FF63BE7B"/>
      </colorScale>
    </cfRule>
  </conditionalFormatting>
  <conditionalFormatting sqref="L6:L10">
    <cfRule type="colorScale" priority="1">
      <colorScale>
        <cfvo type="min"/>
        <cfvo type="percentile" val="50"/>
        <cfvo type="max"/>
        <color rgb="FFF8696B"/>
        <color rgb="FFFFEB84"/>
        <color rgb="FF63BE7B"/>
      </colorScale>
    </cfRule>
  </conditionalFormatting>
  <pageMargins left="0.75" right="0.75" top="1" bottom="1" header="0.511811023622047" footer="0.511811023622047"/>
  <pageSetup paperSize="9" orientation="landscape" horizontalDpi="300" verticalDpi="300"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36C09"/>
  </sheetPr>
  <dimension ref="B2:O58"/>
  <sheetViews>
    <sheetView showGridLines="0" topLeftCell="A16" zoomScale="83" zoomScaleNormal="100" workbookViewId="0">
      <selection activeCell="O37" sqref="O37"/>
    </sheetView>
  </sheetViews>
  <sheetFormatPr defaultColWidth="8.6640625" defaultRowHeight="14.4" x14ac:dyDescent="0.3"/>
  <cols>
    <col min="1" max="1" width="3" style="62" customWidth="1"/>
    <col min="2" max="2" width="18" style="62" customWidth="1"/>
    <col min="3" max="12" width="11.88671875" style="62" customWidth="1"/>
    <col min="13" max="13" width="3" style="62" customWidth="1"/>
    <col min="14" max="16384" width="8.6640625" style="62"/>
  </cols>
  <sheetData>
    <row r="2" spans="2:15" ht="33.75" customHeight="1" x14ac:dyDescent="0.3">
      <c r="B2" s="137" t="s">
        <v>76</v>
      </c>
      <c r="C2" s="137"/>
      <c r="D2" s="137"/>
      <c r="E2" s="137"/>
      <c r="F2" s="137"/>
      <c r="G2" s="137"/>
      <c r="H2" s="137"/>
      <c r="I2" s="137"/>
      <c r="J2" s="137"/>
      <c r="K2" s="137"/>
      <c r="L2" s="137"/>
    </row>
    <row r="3" spans="2:15" ht="15" customHeight="1" x14ac:dyDescent="0.3">
      <c r="B3" s="83" t="s">
        <v>77</v>
      </c>
    </row>
    <row r="4" spans="2:15" ht="15.6" x14ac:dyDescent="0.3">
      <c r="B4" s="84">
        <f>'03_BS_Engine'!D11</f>
        <v>21065.176227692882</v>
      </c>
      <c r="C4" s="85">
        <v>0.1</v>
      </c>
      <c r="D4" s="85">
        <v>0.12</v>
      </c>
      <c r="E4" s="85">
        <v>0.14000000000000001</v>
      </c>
      <c r="F4" s="85">
        <v>0.15</v>
      </c>
      <c r="G4" s="85">
        <v>0.16</v>
      </c>
      <c r="H4" s="85">
        <v>0.18</v>
      </c>
      <c r="I4" s="85">
        <v>0.2</v>
      </c>
      <c r="J4" s="85">
        <v>0.22</v>
      </c>
      <c r="K4" s="85">
        <v>0.24</v>
      </c>
      <c r="L4" s="86">
        <v>0.26</v>
      </c>
    </row>
    <row r="5" spans="2:15" x14ac:dyDescent="0.3">
      <c r="B5" s="87">
        <v>20000</v>
      </c>
      <c r="C5" s="88">
        <f t="dataTable" ref="C5:L14" dt2D="1" dtr="1" r1="O8" r2="O9" ca="1"/>
        <v>5.1955010600025275</v>
      </c>
      <c r="D5" s="88">
        <v>40.340293142417494</v>
      </c>
      <c r="E5" s="88">
        <v>153.38928148769213</v>
      </c>
      <c r="F5" s="88">
        <v>254.64477394016285</v>
      </c>
      <c r="G5" s="88">
        <v>392.12844227976404</v>
      </c>
      <c r="H5" s="88">
        <v>787.37128951981958</v>
      </c>
      <c r="I5" s="88">
        <v>1351.0797030301887</v>
      </c>
      <c r="J5" s="88">
        <v>2081.5015392291798</v>
      </c>
      <c r="K5" s="88">
        <v>2968.9208274664111</v>
      </c>
      <c r="L5" s="89">
        <v>3999.8894150323395</v>
      </c>
    </row>
    <row r="6" spans="2:15" x14ac:dyDescent="0.3">
      <c r="B6" s="87">
        <v>20400</v>
      </c>
      <c r="C6" s="88">
        <v>57.284641477844644</v>
      </c>
      <c r="D6" s="88">
        <v>234.93541187942526</v>
      </c>
      <c r="E6" s="88">
        <v>603.08502959554744</v>
      </c>
      <c r="F6" s="88">
        <v>868.00577495826019</v>
      </c>
      <c r="G6" s="88">
        <v>1187.5561534341387</v>
      </c>
      <c r="H6" s="88">
        <v>1984.7066986145137</v>
      </c>
      <c r="I6" s="88">
        <v>2976.064311051141</v>
      </c>
      <c r="J6" s="88">
        <v>4138.1330463335644</v>
      </c>
      <c r="K6" s="88">
        <v>5447.4283752326983</v>
      </c>
      <c r="L6" s="89">
        <v>6882.6150593142984</v>
      </c>
    </row>
    <row r="7" spans="2:15" x14ac:dyDescent="0.3">
      <c r="B7" s="87">
        <v>20800</v>
      </c>
      <c r="C7" s="88">
        <v>401.4686298827769</v>
      </c>
      <c r="D7" s="88">
        <v>1006.0284254508701</v>
      </c>
      <c r="E7" s="88">
        <v>1899.6701882222737</v>
      </c>
      <c r="F7" s="88">
        <v>2442.8904682177517</v>
      </c>
      <c r="G7" s="88">
        <v>3042.7628099200092</v>
      </c>
      <c r="H7" s="88">
        <v>4390.5494016242983</v>
      </c>
      <c r="I7" s="88">
        <v>5903.3711037965077</v>
      </c>
      <c r="J7" s="88">
        <v>7548.886944456217</v>
      </c>
      <c r="K7" s="88">
        <v>9301.5335996391059</v>
      </c>
      <c r="L7" s="89">
        <v>11141.297758791097</v>
      </c>
    </row>
    <row r="8" spans="2:15" x14ac:dyDescent="0.3">
      <c r="B8" s="87">
        <v>21200</v>
      </c>
      <c r="C8" s="88">
        <v>1874.8484488688291</v>
      </c>
      <c r="D8" s="88">
        <v>3271.3602313161346</v>
      </c>
      <c r="E8" s="88">
        <v>4905.9593203090117</v>
      </c>
      <c r="F8" s="88">
        <v>5790.1718094747139</v>
      </c>
      <c r="G8" s="88">
        <v>6710.0842247050878</v>
      </c>
      <c r="H8" s="88">
        <v>8637.0275471826517</v>
      </c>
      <c r="I8" s="88">
        <v>10654.905226180472</v>
      </c>
      <c r="J8" s="88">
        <v>12741.57507259747</v>
      </c>
      <c r="K8" s="88">
        <v>14881.328545285078</v>
      </c>
      <c r="L8" s="89">
        <v>17062.778221686585</v>
      </c>
      <c r="O8" s="90">
        <v>0.15</v>
      </c>
    </row>
    <row r="9" spans="2:15" x14ac:dyDescent="0.3">
      <c r="B9" s="87">
        <v>21600</v>
      </c>
      <c r="C9" s="88">
        <v>6141.7085352921731</v>
      </c>
      <c r="D9" s="88">
        <v>8356.7201032292814</v>
      </c>
      <c r="E9" s="88">
        <v>10636.613216759906</v>
      </c>
      <c r="F9" s="88">
        <v>11793.115177547224</v>
      </c>
      <c r="G9" s="88">
        <v>12957.983210826796</v>
      </c>
      <c r="H9" s="88">
        <v>15307.368079320622</v>
      </c>
      <c r="I9" s="88">
        <v>17676.502770619209</v>
      </c>
      <c r="J9" s="88">
        <v>20060.04050968977</v>
      </c>
      <c r="K9" s="88">
        <v>22454.371475143398</v>
      </c>
      <c r="L9" s="89">
        <v>24856.970422411086</v>
      </c>
      <c r="O9" s="62">
        <v>22000</v>
      </c>
    </row>
    <row r="10" spans="2:15" x14ac:dyDescent="0.3">
      <c r="B10" s="87">
        <v>22000</v>
      </c>
      <c r="C10" s="88">
        <v>14930.808147994503</v>
      </c>
      <c r="D10" s="88">
        <v>17379.699671489561</v>
      </c>
      <c r="E10" s="88">
        <v>19835.537752211985</v>
      </c>
      <c r="F10" s="88">
        <v>21065.176227692882</v>
      </c>
      <c r="G10" s="88">
        <v>22295.66372907766</v>
      </c>
      <c r="H10" s="88">
        <v>24758.586865193865</v>
      </c>
      <c r="I10" s="88">
        <v>27223.402891213846</v>
      </c>
      <c r="J10" s="88">
        <v>29689.528334916304</v>
      </c>
      <c r="K10" s="88">
        <v>32156.567225949311</v>
      </c>
      <c r="L10" s="89">
        <v>34624.239146673062</v>
      </c>
      <c r="O10" s="62">
        <v>0.08</v>
      </c>
    </row>
    <row r="11" spans="2:15" x14ac:dyDescent="0.3">
      <c r="B11" s="87">
        <v>22400</v>
      </c>
      <c r="C11" s="88">
        <v>28609.581429143691</v>
      </c>
      <c r="D11" s="88">
        <v>30531.534402727357</v>
      </c>
      <c r="E11" s="88">
        <v>32602.143163049277</v>
      </c>
      <c r="F11" s="88">
        <v>33676.722065815833</v>
      </c>
      <c r="G11" s="88">
        <v>34771.542688107089</v>
      </c>
      <c r="H11" s="88">
        <v>37009.398147314001</v>
      </c>
      <c r="I11" s="88">
        <v>39296.410680699046</v>
      </c>
      <c r="J11" s="88">
        <v>41619.794359688327</v>
      </c>
      <c r="K11" s="88">
        <v>43970.773252845262</v>
      </c>
      <c r="L11" s="89">
        <v>46343.136658440199</v>
      </c>
    </row>
    <row r="12" spans="2:15" x14ac:dyDescent="0.3">
      <c r="B12" s="87">
        <v>22800</v>
      </c>
      <c r="C12" s="88">
        <v>45886.903247965529</v>
      </c>
      <c r="D12" s="88">
        <v>46980.19660767186</v>
      </c>
      <c r="E12" s="88">
        <v>48365.873953746086</v>
      </c>
      <c r="F12" s="88">
        <v>49145.856965216262</v>
      </c>
      <c r="G12" s="88">
        <v>49973.893982649497</v>
      </c>
      <c r="H12" s="88">
        <v>51749.986346073092</v>
      </c>
      <c r="I12" s="88">
        <v>53654.184855077983</v>
      </c>
      <c r="J12" s="88">
        <v>55657.332171681264</v>
      </c>
      <c r="K12" s="88">
        <v>57738.025293859304</v>
      </c>
      <c r="L12" s="89">
        <v>59880.361390652528</v>
      </c>
    </row>
    <row r="13" spans="2:15" x14ac:dyDescent="0.3">
      <c r="B13" s="87">
        <v>23200</v>
      </c>
      <c r="C13" s="88">
        <v>64998.779937833933</v>
      </c>
      <c r="D13" s="88">
        <v>65459.908984723916</v>
      </c>
      <c r="E13" s="88">
        <v>66206.502089007699</v>
      </c>
      <c r="F13" s="88">
        <v>66681.45744346056</v>
      </c>
      <c r="G13" s="88">
        <v>67218.4476466653</v>
      </c>
      <c r="H13" s="88">
        <v>68458.987526900819</v>
      </c>
      <c r="I13" s="88">
        <v>69890.088707207353</v>
      </c>
      <c r="J13" s="88">
        <v>71478.109342454263</v>
      </c>
      <c r="K13" s="88">
        <v>73195.07654045173</v>
      </c>
      <c r="L13" s="89">
        <v>75018.321568834479</v>
      </c>
    </row>
    <row r="14" spans="2:15" x14ac:dyDescent="0.3">
      <c r="B14" s="91">
        <v>23600</v>
      </c>
      <c r="C14" s="92">
        <v>84769.304333783832</v>
      </c>
      <c r="D14" s="92">
        <v>84916.993946841656</v>
      </c>
      <c r="E14" s="92">
        <v>85245.55014151975</v>
      </c>
      <c r="F14" s="92">
        <v>85490.493152238749</v>
      </c>
      <c r="G14" s="92">
        <v>85791.562265554065</v>
      </c>
      <c r="H14" s="92">
        <v>86559.658264130296</v>
      </c>
      <c r="I14" s="92">
        <v>87535.963466909379</v>
      </c>
      <c r="J14" s="92">
        <v>88698.784406793857</v>
      </c>
      <c r="K14" s="92">
        <v>90024.734180028288</v>
      </c>
      <c r="L14" s="93">
        <v>91491.670252126089</v>
      </c>
    </row>
    <row r="16" spans="2:15" ht="21" x14ac:dyDescent="0.4">
      <c r="B16" s="61" t="s">
        <v>117</v>
      </c>
      <c r="C16" s="61"/>
      <c r="D16" s="61"/>
      <c r="E16" s="61"/>
      <c r="F16" s="61"/>
      <c r="G16" s="61"/>
      <c r="H16" s="61"/>
      <c r="I16" s="61"/>
      <c r="J16" s="61"/>
      <c r="K16" s="61"/>
      <c r="L16" s="61"/>
    </row>
    <row r="17" spans="2:12" ht="15" thickBot="1" x14ac:dyDescent="0.35"/>
    <row r="18" spans="2:12" ht="15.6" x14ac:dyDescent="0.3">
      <c r="B18" s="84">
        <f>'03_BS_Engine'!D12</f>
        <v>16241.600393155659</v>
      </c>
      <c r="C18" s="85">
        <v>0.1</v>
      </c>
      <c r="D18" s="85">
        <v>0.12</v>
      </c>
      <c r="E18" s="85">
        <v>0.14000000000000001</v>
      </c>
      <c r="F18" s="85">
        <v>0.15</v>
      </c>
      <c r="G18" s="85">
        <v>0.16</v>
      </c>
      <c r="H18" s="85">
        <v>0.18</v>
      </c>
      <c r="I18" s="85">
        <v>0.2</v>
      </c>
      <c r="J18" s="85">
        <v>0.22</v>
      </c>
      <c r="K18" s="85">
        <v>0.24</v>
      </c>
      <c r="L18" s="86">
        <v>0.26</v>
      </c>
    </row>
    <row r="19" spans="2:12" x14ac:dyDescent="0.3">
      <c r="B19" s="87">
        <v>20000</v>
      </c>
      <c r="C19" s="88">
        <f t="dataTable" ref="C19:L28" dt2D="1" dtr="1" r1="O8" r2="O9"/>
        <v>95061.69163773139</v>
      </c>
      <c r="D19" s="88">
        <v>95096.836429813819</v>
      </c>
      <c r="E19" s="88">
        <v>95209.88541815913</v>
      </c>
      <c r="F19" s="88">
        <v>95311.140910611546</v>
      </c>
      <c r="G19" s="88">
        <v>95448.624578951247</v>
      </c>
      <c r="H19" s="88">
        <v>95843.867426191166</v>
      </c>
      <c r="I19" s="88">
        <v>96407.575839701341</v>
      </c>
      <c r="J19" s="88">
        <v>97137.997675900624</v>
      </c>
      <c r="K19" s="88">
        <v>98025.416964137912</v>
      </c>
      <c r="L19" s="89">
        <v>99056.385551703715</v>
      </c>
    </row>
    <row r="20" spans="2:12" x14ac:dyDescent="0.3">
      <c r="B20" s="87">
        <v>20400</v>
      </c>
      <c r="C20" s="88">
        <v>75137.766383907554</v>
      </c>
      <c r="D20" s="88">
        <v>75315.417154309034</v>
      </c>
      <c r="E20" s="88">
        <v>75683.566772025006</v>
      </c>
      <c r="F20" s="88">
        <v>75948.487517387912</v>
      </c>
      <c r="G20" s="88">
        <v>76268.037895863745</v>
      </c>
      <c r="H20" s="88">
        <v>77065.188441044127</v>
      </c>
      <c r="I20" s="88">
        <v>78056.546053480823</v>
      </c>
      <c r="J20" s="88">
        <v>79218.61478876308</v>
      </c>
      <c r="K20" s="88">
        <v>80527.910117662221</v>
      </c>
      <c r="L20" s="89">
        <v>81963.096801743814</v>
      </c>
    </row>
    <row r="21" spans="2:12" x14ac:dyDescent="0.3">
      <c r="B21" s="87">
        <v>20800</v>
      </c>
      <c r="C21" s="88">
        <v>55505.93597807092</v>
      </c>
      <c r="D21" s="88">
        <v>56110.495773638831</v>
      </c>
      <c r="E21" s="88">
        <v>57004.137536410235</v>
      </c>
      <c r="F21" s="88">
        <v>57547.357816405747</v>
      </c>
      <c r="G21" s="88">
        <v>58147.230158108141</v>
      </c>
      <c r="H21" s="88">
        <v>59495.016749812203</v>
      </c>
      <c r="I21" s="88">
        <v>61007.838451984571</v>
      </c>
      <c r="J21" s="88">
        <v>62653.354292644144</v>
      </c>
      <c r="K21" s="88">
        <v>64406.000947827037</v>
      </c>
      <c r="L21" s="89">
        <v>66245.765106978972</v>
      </c>
    </row>
    <row r="22" spans="2:12" x14ac:dyDescent="0.3">
      <c r="B22" s="87">
        <v>21200</v>
      </c>
      <c r="C22" s="88">
        <v>37003.301402815123</v>
      </c>
      <c r="D22" s="88">
        <v>38399.813185262246</v>
      </c>
      <c r="E22" s="88">
        <v>40034.41227425501</v>
      </c>
      <c r="F22" s="88">
        <v>40918.624763420943</v>
      </c>
      <c r="G22" s="88">
        <v>41838.537178651313</v>
      </c>
      <c r="H22" s="88">
        <v>43765.480501128783</v>
      </c>
      <c r="I22" s="88">
        <v>45783.358180126655</v>
      </c>
      <c r="J22" s="88">
        <v>47870.028026543696</v>
      </c>
      <c r="K22" s="88">
        <v>50009.781499231307</v>
      </c>
      <c r="L22" s="89">
        <v>52191.231175632769</v>
      </c>
    </row>
    <row r="23" spans="2:12" x14ac:dyDescent="0.3">
      <c r="B23" s="87">
        <v>21600</v>
      </c>
      <c r="C23" s="88">
        <v>21294.147094996697</v>
      </c>
      <c r="D23" s="88">
        <v>23509.158662933532</v>
      </c>
      <c r="E23" s="88">
        <v>25789.051776464294</v>
      </c>
      <c r="F23" s="88">
        <v>26945.553737251521</v>
      </c>
      <c r="G23" s="88">
        <v>28110.421770531229</v>
      </c>
      <c r="H23" s="88">
        <v>30459.806639025101</v>
      </c>
      <c r="I23" s="88">
        <v>32828.941330323687</v>
      </c>
      <c r="J23" s="88">
        <v>35212.479069394067</v>
      </c>
      <c r="K23" s="88">
        <v>37606.810034847789</v>
      </c>
      <c r="L23" s="89">
        <v>40009.408982115565</v>
      </c>
    </row>
    <row r="24" spans="2:12" x14ac:dyDescent="0.3">
      <c r="B24" s="87">
        <v>22000</v>
      </c>
      <c r="C24" s="88">
        <v>10107.23231345728</v>
      </c>
      <c r="D24" s="88">
        <v>12556.123836952338</v>
      </c>
      <c r="E24" s="88">
        <v>15011.961917674762</v>
      </c>
      <c r="F24" s="88">
        <v>16241.600393155659</v>
      </c>
      <c r="G24" s="88">
        <v>17472.087894540437</v>
      </c>
      <c r="H24" s="88">
        <v>19935.011030656642</v>
      </c>
      <c r="I24" s="88">
        <v>22399.827056676622</v>
      </c>
      <c r="J24" s="88">
        <v>24865.95250037908</v>
      </c>
      <c r="K24" s="88">
        <v>27332.991391412088</v>
      </c>
      <c r="L24" s="89">
        <v>29800.663312135839</v>
      </c>
    </row>
    <row r="25" spans="2:12" x14ac:dyDescent="0.3">
      <c r="B25" s="87">
        <v>22400</v>
      </c>
      <c r="C25" s="88">
        <v>3809.9912003645841</v>
      </c>
      <c r="D25" s="88">
        <v>5731.9441739483864</v>
      </c>
      <c r="E25" s="88">
        <v>7802.5529342702612</v>
      </c>
      <c r="F25" s="88">
        <v>8877.131837036768</v>
      </c>
      <c r="G25" s="88">
        <v>9971.9524593280767</v>
      </c>
      <c r="H25" s="88">
        <v>12209.807918534989</v>
      </c>
      <c r="I25" s="88">
        <v>14496.820451920075</v>
      </c>
      <c r="J25" s="88">
        <v>16820.204130909267</v>
      </c>
      <c r="K25" s="88">
        <v>19171.183024066297</v>
      </c>
      <c r="L25" s="89">
        <v>21543.546429661183</v>
      </c>
    </row>
    <row r="26" spans="2:12" x14ac:dyDescent="0.3">
      <c r="B26" s="87">
        <v>22800</v>
      </c>
      <c r="C26" s="88">
        <v>1111.2986249447317</v>
      </c>
      <c r="D26" s="88">
        <v>2204.5919846510742</v>
      </c>
      <c r="E26" s="88">
        <v>3590.2693307252093</v>
      </c>
      <c r="F26" s="88">
        <v>4370.2523421953401</v>
      </c>
      <c r="G26" s="88">
        <v>5198.289359628825</v>
      </c>
      <c r="H26" s="88">
        <v>6974.3817230522382</v>
      </c>
      <c r="I26" s="88">
        <v>8878.5802320572657</v>
      </c>
      <c r="J26" s="88">
        <v>10881.727548660456</v>
      </c>
      <c r="K26" s="88">
        <v>12962.420670838446</v>
      </c>
      <c r="L26" s="89">
        <v>15104.756767631761</v>
      </c>
    </row>
    <row r="27" spans="2:12" x14ac:dyDescent="0.3">
      <c r="B27" s="87">
        <v>23200</v>
      </c>
      <c r="C27" s="88">
        <v>247.1609205713861</v>
      </c>
      <c r="D27" s="88">
        <v>708.28996746150779</v>
      </c>
      <c r="E27" s="88">
        <v>1454.8830717452915</v>
      </c>
      <c r="F27" s="88">
        <v>1929.8384261981141</v>
      </c>
      <c r="G27" s="88">
        <v>2466.8286294028348</v>
      </c>
      <c r="H27" s="88">
        <v>3707.3685096383997</v>
      </c>
      <c r="I27" s="88">
        <v>5138.4696899448727</v>
      </c>
      <c r="J27" s="88">
        <v>6726.490325191844</v>
      </c>
      <c r="K27" s="88">
        <v>8443.4575231894087</v>
      </c>
      <c r="L27" s="89">
        <v>10266.702551571962</v>
      </c>
    </row>
    <row r="28" spans="2:12" ht="15" thickBot="1" x14ac:dyDescent="0.35">
      <c r="B28" s="91">
        <v>23600</v>
      </c>
      <c r="C28" s="92">
        <v>41.670922279536171</v>
      </c>
      <c r="D28" s="92">
        <v>189.36053533736299</v>
      </c>
      <c r="E28" s="92">
        <v>517.91673001553136</v>
      </c>
      <c r="F28" s="92">
        <v>762.85974073459784</v>
      </c>
      <c r="G28" s="92">
        <v>1063.9288540498683</v>
      </c>
      <c r="H28" s="92">
        <v>1832.0248526259888</v>
      </c>
      <c r="I28" s="92">
        <v>2808.3300554051675</v>
      </c>
      <c r="J28" s="92">
        <v>3971.1509952896222</v>
      </c>
      <c r="K28" s="92">
        <v>5297.1007685240465</v>
      </c>
      <c r="L28" s="93">
        <v>6764.036840621884</v>
      </c>
    </row>
    <row r="30" spans="2:12" ht="21" x14ac:dyDescent="0.4">
      <c r="B30" s="61" t="s">
        <v>116</v>
      </c>
      <c r="C30" s="61"/>
      <c r="D30" s="61"/>
      <c r="E30" s="61"/>
      <c r="F30" s="61"/>
      <c r="G30" s="61"/>
      <c r="H30" s="61"/>
      <c r="I30" s="62" t="s">
        <v>119</v>
      </c>
    </row>
    <row r="31" spans="2:12" ht="15" thickBot="1" x14ac:dyDescent="0.35"/>
    <row r="32" spans="2:12" ht="15.6" x14ac:dyDescent="0.3">
      <c r="B32" s="94">
        <f>'04_Risk_Greeks'!D5</f>
        <v>27.452408721914711</v>
      </c>
      <c r="C32" s="95">
        <v>0.08</v>
      </c>
      <c r="D32" s="95">
        <v>0.06</v>
      </c>
      <c r="E32" s="95">
        <v>0.04</v>
      </c>
      <c r="F32" s="95">
        <v>0.02</v>
      </c>
      <c r="G32" s="95">
        <v>0.01</v>
      </c>
      <c r="H32" s="96">
        <v>2E-3</v>
      </c>
    </row>
    <row r="33" spans="2:8" x14ac:dyDescent="0.3">
      <c r="B33" s="87">
        <v>20000</v>
      </c>
      <c r="C33" s="97">
        <f t="dataTable" ref="C33:H43" dt2D="1" dtr="1" r1="O10" r2="O9" ca="1"/>
        <v>0.84585138261836557</v>
      </c>
      <c r="D33" s="97">
        <v>0.32283469620505317</v>
      </c>
      <c r="E33" s="97">
        <v>5.0233058223210773E-2</v>
      </c>
      <c r="F33" s="97">
        <v>2.3496240640799327E-4</v>
      </c>
      <c r="G33" s="97">
        <v>6.9818147514566342E-9</v>
      </c>
      <c r="H33" s="97">
        <v>2.7080983289428207E-44</v>
      </c>
    </row>
    <row r="34" spans="2:8" x14ac:dyDescent="0.3">
      <c r="B34" s="87">
        <v>20400</v>
      </c>
      <c r="C34" s="97">
        <v>2.4461497229044955</v>
      </c>
      <c r="D34" s="97">
        <v>1.2876002349551956</v>
      </c>
      <c r="E34" s="97">
        <v>0.378719401582917</v>
      </c>
      <c r="F34" s="97">
        <v>1.1759558788197967E-2</v>
      </c>
      <c r="G34" s="97">
        <v>1.5118350665966896E-5</v>
      </c>
      <c r="H34" s="97">
        <v>6.7657422026336225E-28</v>
      </c>
    </row>
    <row r="35" spans="2:8" x14ac:dyDescent="0.3">
      <c r="B35" s="87">
        <v>20800</v>
      </c>
      <c r="C35" s="97">
        <v>5.7745687006558377</v>
      </c>
      <c r="D35" s="97">
        <v>3.8985142923000309</v>
      </c>
      <c r="E35" s="97">
        <v>1.8704002920160674</v>
      </c>
      <c r="F35" s="97">
        <v>0.24576952864281734</v>
      </c>
      <c r="G35" s="97">
        <v>5.49350967306816E-3</v>
      </c>
      <c r="H35" s="97">
        <v>1.8326779718805032E-15</v>
      </c>
    </row>
    <row r="36" spans="2:8" x14ac:dyDescent="0.3">
      <c r="B36" s="87">
        <v>21200</v>
      </c>
      <c r="C36" s="97">
        <v>11.345635072143045</v>
      </c>
      <c r="D36" s="97">
        <v>9.1953929051006309</v>
      </c>
      <c r="E36" s="97">
        <v>6.2872196220416861</v>
      </c>
      <c r="F36" s="97">
        <v>2.3053907233697855</v>
      </c>
      <c r="G36" s="97">
        <v>0.3823873162820044</v>
      </c>
      <c r="H36" s="97">
        <v>9.3855374738629471E-7</v>
      </c>
    </row>
    <row r="37" spans="2:8" x14ac:dyDescent="0.3">
      <c r="B37" s="87">
        <v>21600</v>
      </c>
      <c r="C37" s="97">
        <v>18.937478313794788</v>
      </c>
      <c r="D37" s="97">
        <v>17.375322405128859</v>
      </c>
      <c r="E37" s="97">
        <v>15.010048390711898</v>
      </c>
      <c r="F37" s="97">
        <v>10.553058358337024</v>
      </c>
      <c r="G37" s="97">
        <v>5.9579731853327234</v>
      </c>
      <c r="H37" s="97">
        <v>0.16539643166265527</v>
      </c>
    </row>
    <row r="38" spans="2:8" x14ac:dyDescent="0.3">
      <c r="B38" s="87">
        <v>22000</v>
      </c>
      <c r="C38" s="97">
        <v>27.452408721914711</v>
      </c>
      <c r="D38" s="97">
        <v>27.129364800991297</v>
      </c>
      <c r="E38" s="97">
        <v>26.743655333834386</v>
      </c>
      <c r="F38" s="97">
        <v>26.237236650218648</v>
      </c>
      <c r="G38" s="97">
        <v>25.876829377974474</v>
      </c>
      <c r="H38" s="97">
        <v>25.393206650787832</v>
      </c>
    </row>
    <row r="39" spans="2:8" x14ac:dyDescent="0.3">
      <c r="B39" s="87">
        <v>22400</v>
      </c>
      <c r="C39" s="97">
        <v>35.393043844684492</v>
      </c>
      <c r="D39" s="97">
        <v>36.231175778958061</v>
      </c>
      <c r="E39" s="97">
        <v>37.706004170821615</v>
      </c>
      <c r="F39" s="97">
        <v>40.941676124563521</v>
      </c>
      <c r="G39" s="97">
        <v>44.668683731653161</v>
      </c>
      <c r="H39" s="97">
        <v>49.828150927888338</v>
      </c>
    </row>
    <row r="40" spans="2:8" x14ac:dyDescent="0.3">
      <c r="B40" s="87">
        <v>22800</v>
      </c>
      <c r="C40" s="97">
        <v>41.609007092504484</v>
      </c>
      <c r="D40" s="97">
        <v>42.961201034551159</v>
      </c>
      <c r="E40" s="97">
        <v>44.950032798772654</v>
      </c>
      <c r="F40" s="97">
        <v>47.966322938630348</v>
      </c>
      <c r="G40" s="97">
        <v>49.610240401191234</v>
      </c>
      <c r="H40" s="97">
        <v>49.998497753255705</v>
      </c>
    </row>
    <row r="41" spans="2:8" x14ac:dyDescent="0.3">
      <c r="B41" s="87">
        <v>23200</v>
      </c>
      <c r="C41" s="97">
        <v>45.730218838598766</v>
      </c>
      <c r="D41" s="97">
        <v>46.951039766036665</v>
      </c>
      <c r="E41" s="97">
        <v>48.394074169410736</v>
      </c>
      <c r="F41" s="97">
        <v>49.727943307586791</v>
      </c>
      <c r="G41" s="97">
        <v>49.984069112780496</v>
      </c>
      <c r="H41" s="97">
        <v>49.998500022499726</v>
      </c>
    </row>
    <row r="42" spans="2:8" x14ac:dyDescent="0.3">
      <c r="B42" s="98">
        <v>23600</v>
      </c>
      <c r="C42" s="97">
        <v>48.063967174915227</v>
      </c>
      <c r="D42" s="97">
        <v>48.868567758519291</v>
      </c>
      <c r="E42" s="97">
        <v>49.591174908611727</v>
      </c>
      <c r="F42" s="97">
        <v>49.96634642327291</v>
      </c>
      <c r="G42" s="97">
        <v>49.992442886544218</v>
      </c>
      <c r="H42" s="97">
        <v>49.998500022499776</v>
      </c>
    </row>
    <row r="43" spans="2:8" x14ac:dyDescent="0.3">
      <c r="B43" s="99">
        <v>24000</v>
      </c>
      <c r="C43" s="97">
        <v>49.20166713313948</v>
      </c>
      <c r="D43" s="97">
        <v>49.623471848658234</v>
      </c>
      <c r="E43" s="97">
        <v>49.900012121636038</v>
      </c>
      <c r="F43" s="97">
        <v>49.984221426011409</v>
      </c>
      <c r="G43" s="97">
        <v>49.99250043579184</v>
      </c>
      <c r="H43" s="97">
        <v>49.998500022499776</v>
      </c>
    </row>
    <row r="45" spans="2:8" ht="21" x14ac:dyDescent="0.4">
      <c r="B45" s="61" t="s">
        <v>118</v>
      </c>
      <c r="C45" s="61"/>
      <c r="D45" s="61"/>
      <c r="E45" s="61"/>
      <c r="F45" s="61"/>
      <c r="G45" s="61"/>
      <c r="H45" s="61"/>
    </row>
    <row r="46" spans="2:8" ht="15" thickBot="1" x14ac:dyDescent="0.35"/>
    <row r="47" spans="2:8" ht="15.6" x14ac:dyDescent="0.3">
      <c r="B47" s="100">
        <f>'04_Risk_Greeks'!D7</f>
        <v>2.1179284296561046E-2</v>
      </c>
      <c r="C47" s="95">
        <v>0.08</v>
      </c>
      <c r="D47" s="95">
        <v>0.06</v>
      </c>
      <c r="E47" s="95">
        <v>0.04</v>
      </c>
      <c r="F47" s="95">
        <v>0.02</v>
      </c>
      <c r="G47" s="95">
        <v>0.01</v>
      </c>
      <c r="H47" s="96">
        <v>2E-3</v>
      </c>
    </row>
    <row r="48" spans="2:8" x14ac:dyDescent="0.3">
      <c r="B48" s="87">
        <v>20000</v>
      </c>
      <c r="C48" s="101">
        <f t="dataTable" ref="C48:H58" dt2D="1" dtr="1" r1="O10" r2="O9" ca="1"/>
        <v>2.4734835142317295E-3</v>
      </c>
      <c r="D48" s="101">
        <v>1.234425023716365E-3</v>
      </c>
      <c r="E48" s="101">
        <v>2.8177699894217217E-4</v>
      </c>
      <c r="F48" s="101">
        <v>2.5683321455695128E-6</v>
      </c>
      <c r="G48" s="101">
        <v>1.5037003112348725E-10</v>
      </c>
      <c r="H48" s="101">
        <v>2.8779832043612002E-45</v>
      </c>
    </row>
    <row r="49" spans="2:8" x14ac:dyDescent="0.3">
      <c r="B49" s="87">
        <v>20400</v>
      </c>
      <c r="C49" s="101">
        <v>5.8540826970062566E-3</v>
      </c>
      <c r="D49" s="101">
        <v>3.9961225119449478E-3</v>
      </c>
      <c r="E49" s="101">
        <v>1.7065857114130392E-3</v>
      </c>
      <c r="F49" s="101">
        <v>1.0186364645241381E-4</v>
      </c>
      <c r="G49" s="101">
        <v>2.5575271444634856E-7</v>
      </c>
      <c r="H49" s="101">
        <v>5.5985384474027268E-29</v>
      </c>
    </row>
    <row r="50" spans="2:8" x14ac:dyDescent="0.3">
      <c r="B50" s="87">
        <v>20800</v>
      </c>
      <c r="C50" s="101">
        <v>1.1027240182037604E-2</v>
      </c>
      <c r="D50" s="101">
        <v>9.5368325133041807E-3</v>
      </c>
      <c r="E50" s="101">
        <v>6.5374477011289995E-3</v>
      </c>
      <c r="F50" s="101">
        <v>1.6137773826479086E-3</v>
      </c>
      <c r="G50" s="101">
        <v>6.9299998328512701E-5</v>
      </c>
      <c r="H50" s="101">
        <v>1.1109542379024833E-16</v>
      </c>
    </row>
    <row r="51" spans="2:8" x14ac:dyDescent="0.3">
      <c r="B51" s="87">
        <v>21200</v>
      </c>
      <c r="C51" s="101">
        <v>1.6743400375096418E-2</v>
      </c>
      <c r="D51" s="101">
        <v>1.706541156272906E-2</v>
      </c>
      <c r="E51" s="101">
        <v>1.6247719152730062E-2</v>
      </c>
      <c r="F51" s="101">
        <v>1.0745892594391425E-2</v>
      </c>
      <c r="G51" s="101">
        <v>3.312542700092696E-3</v>
      </c>
      <c r="H51" s="101">
        <v>3.7442044212255875E-8</v>
      </c>
    </row>
    <row r="52" spans="2:8" x14ac:dyDescent="0.3">
      <c r="B52" s="87">
        <v>21600</v>
      </c>
      <c r="C52" s="101">
        <v>2.073608582343326E-2</v>
      </c>
      <c r="D52" s="101">
        <v>2.3261324932167121E-2</v>
      </c>
      <c r="E52" s="101">
        <v>2.6827438570137096E-2</v>
      </c>
      <c r="F52" s="101">
        <v>3.1538183342874108E-2</v>
      </c>
      <c r="G52" s="101">
        <v>3.0716406641296996E-2</v>
      </c>
      <c r="H52" s="101">
        <v>3.4473583917672625E-3</v>
      </c>
    </row>
    <row r="53" spans="2:8" x14ac:dyDescent="0.3">
      <c r="B53" s="87">
        <v>22000</v>
      </c>
      <c r="C53" s="101">
        <v>2.1179284296561046E-2</v>
      </c>
      <c r="D53" s="101">
        <v>2.4510835345861025E-2</v>
      </c>
      <c r="E53" s="101">
        <v>3.0087160740890878E-2</v>
      </c>
      <c r="F53" s="101">
        <v>4.2645544931935592E-2</v>
      </c>
      <c r="G53" s="101">
        <v>6.0377815807749514E-2</v>
      </c>
      <c r="H53" s="101">
        <v>0.1351305007207774</v>
      </c>
    </row>
    <row r="54" spans="2:8" x14ac:dyDescent="0.3">
      <c r="B54" s="87">
        <v>22400</v>
      </c>
      <c r="C54" s="101">
        <v>1.8025103119091262E-2</v>
      </c>
      <c r="D54" s="101">
        <v>2.0242723952558137E-2</v>
      </c>
      <c r="E54" s="101">
        <v>2.3398109606737726E-2</v>
      </c>
      <c r="F54" s="101">
        <v>2.7691048925357196E-2</v>
      </c>
      <c r="G54" s="101">
        <v>2.7332256305795714E-2</v>
      </c>
      <c r="H54" s="101">
        <v>3.4135813296635046E-3</v>
      </c>
    </row>
    <row r="55" spans="2:8" x14ac:dyDescent="0.3">
      <c r="B55" s="87">
        <v>22800</v>
      </c>
      <c r="C55" s="101">
        <v>1.2906768020519264E-2</v>
      </c>
      <c r="D55" s="101">
        <v>1.3272784326974933E-2</v>
      </c>
      <c r="E55" s="101">
        <v>1.2864133325356865E-2</v>
      </c>
      <c r="F55" s="101">
        <v>8.9755113090989689E-3</v>
      </c>
      <c r="G55" s="101">
        <v>3.0791818365596951E-3</v>
      </c>
      <c r="H55" s="101">
        <v>8.1901260781371089E-8</v>
      </c>
    </row>
    <row r="56" spans="2:8" x14ac:dyDescent="0.3">
      <c r="B56" s="87">
        <v>23200</v>
      </c>
      <c r="C56" s="101">
        <v>7.846126096886237E-3</v>
      </c>
      <c r="D56" s="101">
        <v>6.9932124265662116E-3</v>
      </c>
      <c r="E56" s="101">
        <v>5.0915384007833384E-3</v>
      </c>
      <c r="F56" s="101">
        <v>1.505875659124283E-3</v>
      </c>
      <c r="G56" s="101">
        <v>9.2829946257954983E-5</v>
      </c>
      <c r="H56" s="101">
        <v>2.6836515906785496E-15</v>
      </c>
    </row>
    <row r="57" spans="2:8" x14ac:dyDescent="0.3">
      <c r="B57" s="98">
        <v>23600</v>
      </c>
      <c r="C57" s="101">
        <v>4.0838519839439995E-3</v>
      </c>
      <c r="D57" s="101">
        <v>2.9944992521214269E-3</v>
      </c>
      <c r="E57" s="101">
        <v>1.4755776534861442E-3</v>
      </c>
      <c r="F57" s="101">
        <v>1.3530032262970275E-4</v>
      </c>
      <c r="G57" s="101">
        <v>8.0166175179079593E-7</v>
      </c>
      <c r="H57" s="101">
        <v>1.6880136784776921E-25</v>
      </c>
    </row>
    <row r="58" spans="2:8" x14ac:dyDescent="0.3">
      <c r="B58" s="99">
        <v>24000</v>
      </c>
      <c r="C58" s="101">
        <v>1.834481869648063E-3</v>
      </c>
      <c r="D58" s="101">
        <v>1.0532042365463958E-3</v>
      </c>
      <c r="E58" s="101">
        <v>3.1815618695024337E-4</v>
      </c>
      <c r="F58" s="101">
        <v>6.7212009629119733E-6</v>
      </c>
      <c r="G58" s="101">
        <v>2.1138720797620979E-9</v>
      </c>
      <c r="H58" s="101">
        <v>2.8053007269964851E-38</v>
      </c>
    </row>
  </sheetData>
  <mergeCells count="1">
    <mergeCell ref="B2:L2"/>
  </mergeCells>
  <conditionalFormatting sqref="C33:H43">
    <cfRule type="colorScale" priority="2">
      <colorScale>
        <cfvo type="min"/>
        <cfvo type="percentile" val="50"/>
        <cfvo type="max"/>
        <color rgb="FFF8696B"/>
        <color rgb="FFFFEB84"/>
        <color rgb="FF63BE7B"/>
      </colorScale>
    </cfRule>
  </conditionalFormatting>
  <conditionalFormatting sqref="C48:H58">
    <cfRule type="colorScale" priority="1">
      <colorScale>
        <cfvo type="min"/>
        <cfvo type="percentile" val="50"/>
        <cfvo type="max"/>
        <color rgb="FFF8696B"/>
        <color rgb="FFFFEB84"/>
        <color rgb="FF63BE7B"/>
      </colorScale>
    </cfRule>
  </conditionalFormatting>
  <conditionalFormatting sqref="C5:L14">
    <cfRule type="colorScale" priority="5">
      <colorScale>
        <cfvo type="min"/>
        <cfvo type="percentile" val="50"/>
        <cfvo type="max"/>
        <color rgb="FFF8696B"/>
        <color rgb="FFFFEB84"/>
        <color rgb="FF63BE7B"/>
      </colorScale>
    </cfRule>
  </conditionalFormatting>
  <conditionalFormatting sqref="C19:L28">
    <cfRule type="colorScale" priority="3">
      <colorScale>
        <cfvo type="min"/>
        <cfvo type="percentile" val="50"/>
        <cfvo type="max"/>
        <color rgb="FFF8696B"/>
        <color rgb="FFFFEB84"/>
        <color rgb="FF63BE7B"/>
      </colorScale>
    </cfRule>
  </conditionalFormatting>
  <pageMargins left="0.75" right="0.75" top="1" bottom="1" header="0.511811023622047" footer="0.511811023622047"/>
  <pageSetup paperSize="9" orientation="landscape" horizontalDpi="300" verticalDpi="300"/>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sheetPr>
  <dimension ref="B2:D24"/>
  <sheetViews>
    <sheetView showGridLines="0" zoomScale="103" zoomScaleNormal="100" workbookViewId="0">
      <selection activeCell="D24" sqref="D24"/>
    </sheetView>
  </sheetViews>
  <sheetFormatPr defaultColWidth="8.6640625" defaultRowHeight="14.4" x14ac:dyDescent="0.3"/>
  <cols>
    <col min="1" max="1" width="3" style="62" customWidth="1"/>
    <col min="2" max="2" width="38" style="62" customWidth="1"/>
    <col min="3" max="3" width="22" style="62" customWidth="1"/>
    <col min="4" max="4" width="50.21875" style="62" bestFit="1" customWidth="1"/>
    <col min="5" max="5" width="3" style="62" customWidth="1"/>
    <col min="6" max="16384" width="8.6640625" style="62"/>
  </cols>
  <sheetData>
    <row r="2" spans="2:4" ht="33.75" customHeight="1" x14ac:dyDescent="0.3">
      <c r="B2" s="137" t="s">
        <v>78</v>
      </c>
      <c r="C2" s="137"/>
      <c r="D2" s="137"/>
    </row>
    <row r="4" spans="2:4" ht="24" customHeight="1" x14ac:dyDescent="0.3">
      <c r="B4" s="135" t="s">
        <v>79</v>
      </c>
      <c r="C4" s="135"/>
      <c r="D4" s="135"/>
    </row>
    <row r="5" spans="2:4" ht="21.75" customHeight="1" x14ac:dyDescent="0.3">
      <c r="B5" s="14" t="s">
        <v>27</v>
      </c>
      <c r="C5" s="15" t="s">
        <v>28</v>
      </c>
      <c r="D5" s="16" t="s">
        <v>80</v>
      </c>
    </row>
    <row r="6" spans="2:4" ht="21.75" customHeight="1" x14ac:dyDescent="0.3">
      <c r="B6" s="5" t="s">
        <v>81</v>
      </c>
      <c r="C6" s="6">
        <v>10000000</v>
      </c>
      <c r="D6" s="63" t="s">
        <v>82</v>
      </c>
    </row>
    <row r="7" spans="2:4" ht="21.75" customHeight="1" x14ac:dyDescent="0.3">
      <c r="B7" s="8" t="s">
        <v>83</v>
      </c>
      <c r="C7" s="60">
        <v>1.2</v>
      </c>
      <c r="D7" s="64" t="s">
        <v>84</v>
      </c>
    </row>
    <row r="8" spans="2:4" x14ac:dyDescent="0.3">
      <c r="B8" s="65"/>
      <c r="C8" s="66"/>
      <c r="D8" s="67"/>
    </row>
    <row r="9" spans="2:4" ht="24" customHeight="1" x14ac:dyDescent="0.3">
      <c r="B9" s="139" t="s">
        <v>85</v>
      </c>
      <c r="C9" s="139"/>
      <c r="D9" s="139"/>
    </row>
    <row r="10" spans="2:4" ht="21.75" customHeight="1" x14ac:dyDescent="0.3">
      <c r="B10" s="14" t="s">
        <v>3</v>
      </c>
      <c r="C10" s="15" t="s">
        <v>28</v>
      </c>
      <c r="D10" s="16" t="s">
        <v>86</v>
      </c>
    </row>
    <row r="11" spans="2:4" ht="21.75" customHeight="1" x14ac:dyDescent="0.3">
      <c r="B11" s="5" t="s">
        <v>87</v>
      </c>
      <c r="C11" s="68">
        <f>'04_Risk_Greeks'!C6</f>
        <v>-0.44975254527379216</v>
      </c>
      <c r="D11" s="31" t="s">
        <v>88</v>
      </c>
    </row>
    <row r="12" spans="2:4" ht="21.75" customHeight="1" x14ac:dyDescent="0.3">
      <c r="B12" s="8" t="s">
        <v>89</v>
      </c>
      <c r="C12" s="69">
        <f>'02_Market_Data'!C6</f>
        <v>22000</v>
      </c>
      <c r="D12" s="29" t="s">
        <v>90</v>
      </c>
    </row>
    <row r="13" spans="2:4" ht="21.75" customHeight="1" x14ac:dyDescent="0.3">
      <c r="B13" s="5" t="s">
        <v>42</v>
      </c>
      <c r="C13" s="70">
        <f>'02_Market_Data'!C12</f>
        <v>50</v>
      </c>
      <c r="D13" s="31" t="s">
        <v>90</v>
      </c>
    </row>
    <row r="14" spans="2:4" ht="21.75" customHeight="1" x14ac:dyDescent="0.3">
      <c r="B14" s="8" t="s">
        <v>91</v>
      </c>
      <c r="C14" s="71">
        <f>'06_Advanced_Applications'!C6*'06_Advanced_Applications'!C7</f>
        <v>12000000</v>
      </c>
      <c r="D14" s="29" t="s">
        <v>92</v>
      </c>
    </row>
    <row r="15" spans="2:4" ht="24" customHeight="1" x14ac:dyDescent="0.3">
      <c r="B15" s="72" t="s">
        <v>93</v>
      </c>
      <c r="C15" s="73">
        <f>ROUNDUP(('06_Advanced_Applications'!C6*'06_Advanced_Applications'!C7)/('02_Market_Data'!C6*ABS('04_Risk_Greeks'!C6)*'02_Market_Data'!C12),0)</f>
        <v>25</v>
      </c>
      <c r="D15" s="74" t="s">
        <v>94</v>
      </c>
    </row>
    <row r="16" spans="2:4" ht="21.75" customHeight="1" x14ac:dyDescent="0.3">
      <c r="B16" s="75" t="s">
        <v>95</v>
      </c>
      <c r="C16" s="76">
        <f>C15*'03_BS_Engine'!C12*'02_Market_Data'!C12</f>
        <v>406040.00982889149</v>
      </c>
      <c r="D16" s="77" t="s">
        <v>96</v>
      </c>
    </row>
    <row r="17" spans="2:4" ht="21.75" customHeight="1" x14ac:dyDescent="0.3">
      <c r="B17" s="11" t="s">
        <v>97</v>
      </c>
      <c r="C17" s="78">
        <f>C16/'06_Advanced_Applications'!C6</f>
        <v>4.0604000982889146E-2</v>
      </c>
      <c r="D17" s="79" t="s">
        <v>98</v>
      </c>
    </row>
    <row r="19" spans="2:4" ht="24" customHeight="1" x14ac:dyDescent="0.3">
      <c r="B19" s="135" t="s">
        <v>99</v>
      </c>
      <c r="C19" s="135"/>
      <c r="D19" s="135"/>
    </row>
    <row r="20" spans="2:4" ht="21.75" customHeight="1" x14ac:dyDescent="0.3">
      <c r="B20" s="14" t="s">
        <v>100</v>
      </c>
      <c r="C20" s="15" t="s">
        <v>28</v>
      </c>
      <c r="D20" s="16" t="s">
        <v>101</v>
      </c>
    </row>
    <row r="21" spans="2:4" ht="21.75" customHeight="1" x14ac:dyDescent="0.3">
      <c r="B21" s="5" t="s">
        <v>102</v>
      </c>
      <c r="C21" s="80">
        <f>'06_Advanced_Applications'!C6*'06_Advanced_Applications'!C7*'02_Market_Data'!C10*SQRT(1/252)*2.326</f>
        <v>263743.60926583881</v>
      </c>
      <c r="D21" s="31" t="s">
        <v>103</v>
      </c>
    </row>
    <row r="22" spans="2:4" ht="21.75" customHeight="1" x14ac:dyDescent="0.3">
      <c r="B22" s="8" t="s">
        <v>104</v>
      </c>
      <c r="C22" s="71">
        <f>C21*SQRT(10)</f>
        <v>834030.52359354007</v>
      </c>
      <c r="D22" s="29" t="s">
        <v>105</v>
      </c>
    </row>
    <row r="23" spans="2:4" ht="21.75" customHeight="1" x14ac:dyDescent="0.3">
      <c r="B23" s="5" t="s">
        <v>106</v>
      </c>
      <c r="C23" s="81">
        <f>'06_Advanced_Applications'!C7*'02_Market_Data'!C10</f>
        <v>0.18</v>
      </c>
      <c r="D23" s="31" t="s">
        <v>107</v>
      </c>
    </row>
    <row r="24" spans="2:4" ht="21.75" customHeight="1" x14ac:dyDescent="0.3">
      <c r="B24" s="32" t="s">
        <v>108</v>
      </c>
      <c r="C24" s="82">
        <f>'02_Market_Data'!C6*'02_Market_Data'!C10*SQRT(1/252)</f>
        <v>207.88046015507499</v>
      </c>
      <c r="D24" s="34" t="s">
        <v>109</v>
      </c>
    </row>
  </sheetData>
  <mergeCells count="4">
    <mergeCell ref="B2:D2"/>
    <mergeCell ref="B4:D4"/>
    <mergeCell ref="B9:D9"/>
    <mergeCell ref="B19:D19"/>
  </mergeCells>
  <pageMargins left="0.75" right="0.75" top="1" bottom="1" header="0.511811023622047" footer="0.511811023622047"/>
  <pageSetup paperSize="9" orientation="landscape"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11</vt:i4>
      </vt:variant>
    </vt:vector>
  </HeadingPairs>
  <TitlesOfParts>
    <vt:vector size="17" baseType="lpstr">
      <vt:lpstr>01_Dashboard</vt:lpstr>
      <vt:lpstr>02_Market_Data</vt:lpstr>
      <vt:lpstr>03_BS_Engine</vt:lpstr>
      <vt:lpstr>04_Risk_Greeks</vt:lpstr>
      <vt:lpstr>05_Sensitivity_Matrix</vt:lpstr>
      <vt:lpstr>06_Advanced_Applications</vt:lpstr>
      <vt:lpstr>bs_d1</vt:lpstr>
      <vt:lpstr>bs_d2</vt:lpstr>
      <vt:lpstr>dividend_yield</vt:lpstr>
      <vt:lpstr>implied_volatlity</vt:lpstr>
      <vt:lpstr>lot_size</vt:lpstr>
      <vt:lpstr>n_d1</vt:lpstr>
      <vt:lpstr>n_d2</vt:lpstr>
      <vt:lpstr>risk_free_rate</vt:lpstr>
      <vt:lpstr>spot_price</vt:lpstr>
      <vt:lpstr>strike_price</vt:lpstr>
      <vt:lpstr>time_to_maturity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Anvay Gulwe</cp:lastModifiedBy>
  <cp:revision>4</cp:revision>
  <dcterms:created xsi:type="dcterms:W3CDTF">2026-06-10T05:41:11Z</dcterms:created>
  <dcterms:modified xsi:type="dcterms:W3CDTF">2026-06-13T13:46:56Z</dcterms:modified>
  <dc:language>en-US</dc:language>
</cp:coreProperties>
</file>