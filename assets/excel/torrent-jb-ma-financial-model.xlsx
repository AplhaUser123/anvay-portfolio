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xml" ContentType="application/vnd.openxmlformats-officedocument.drawing+xml"/>
  <Override PartName="/xl/comments8.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nvay Document\ANVAY-PORTFOLIO-WEBSITE\assets\excel\"/>
    </mc:Choice>
  </mc:AlternateContent>
  <xr:revisionPtr revIDLastSave="0" documentId="13_ncr:1_{13F779DC-1799-4402-B8F7-772DAF5CBCC3}" xr6:coauthVersionLast="47" xr6:coauthVersionMax="47" xr10:uidLastSave="{00000000-0000-0000-0000-000000000000}"/>
  <bookViews>
    <workbookView xWindow="-108" yWindow="-108" windowWidth="23256" windowHeight="12456" xr2:uid="{00000000-000D-0000-FFFF-FFFF00000000}"/>
  </bookViews>
  <sheets>
    <sheet name="COVER" sheetId="10" r:id="rId1"/>
    <sheet name="Assumptions" sheetId="1" r:id="rId2"/>
    <sheet name="Standalone Torrent" sheetId="3" r:id="rId3"/>
    <sheet name="Standalone JBChem" sheetId="2" r:id="rId4"/>
    <sheet name="Synergies" sheetId="5" r:id="rId5"/>
    <sheet name="Deal Mechanics" sheetId="4" r:id="rId6"/>
    <sheet name="ProForma Combined" sheetId="7" r:id="rId7"/>
    <sheet name="Accretion Dilution" sheetId="6" r:id="rId8"/>
    <sheet name="Valuation" sheetId="8" r:id="rId9"/>
    <sheet name="Summary FootballField" sheetId="9" r:id="rId10"/>
  </sheets>
  <definedNames>
    <definedName name="_xlnm.Print_Area" localSheetId="0">COVER!$A$1:$X$33</definedName>
    <definedName name="_xlnm.Print_Area" localSheetId="9">'Summary FootballField'!$A$1:$J$118</definedName>
    <definedName name="_xlnm.Print_Area" localSheetId="8">Valuation!$A$1:$G$117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65" i="8" l="1"/>
  <c r="C22" i="8"/>
  <c r="C6" i="6"/>
  <c r="C40" i="5"/>
  <c r="D34" i="5"/>
  <c r="G34" i="5"/>
  <c r="F34" i="5"/>
  <c r="E34" i="5"/>
  <c r="C34" i="5"/>
  <c r="C20" i="1"/>
  <c r="C35" i="7"/>
  <c r="C34" i="7"/>
  <c r="C33" i="7"/>
  <c r="F100" i="8"/>
  <c r="H28" i="9"/>
  <c r="H27" i="9"/>
  <c r="H26" i="9"/>
  <c r="H25" i="9"/>
  <c r="H24" i="9"/>
  <c r="H23" i="9"/>
  <c r="H22" i="9"/>
  <c r="H21" i="9"/>
  <c r="H20" i="9"/>
  <c r="H19" i="9"/>
  <c r="H29" i="9"/>
  <c r="F29" i="9"/>
  <c r="G29" i="9"/>
  <c r="G25" i="9"/>
  <c r="E25" i="9" s="1"/>
  <c r="F25" i="9"/>
  <c r="C25" i="9" s="1"/>
  <c r="G24" i="9"/>
  <c r="E24" i="9" s="1"/>
  <c r="F24" i="9"/>
  <c r="C24" i="9" s="1"/>
  <c r="G23" i="9"/>
  <c r="E23" i="9" s="1"/>
  <c r="F23" i="9"/>
  <c r="C23" i="9" s="1"/>
  <c r="G22" i="9"/>
  <c r="E22" i="9" s="1"/>
  <c r="F22" i="9"/>
  <c r="C22" i="9" s="1"/>
  <c r="G21" i="9"/>
  <c r="E21" i="9" s="1"/>
  <c r="F21" i="9"/>
  <c r="C21" i="9" s="1"/>
  <c r="G20" i="9"/>
  <c r="E20" i="9" s="1"/>
  <c r="F20" i="9"/>
  <c r="C20" i="9" s="1"/>
  <c r="G28" i="9"/>
  <c r="E28" i="9" s="1"/>
  <c r="F28" i="9"/>
  <c r="C28" i="9" s="1"/>
  <c r="G27" i="9"/>
  <c r="E27" i="9" s="1"/>
  <c r="F27" i="9"/>
  <c r="C27" i="9" s="1"/>
  <c r="G26" i="9"/>
  <c r="E26" i="9" s="1"/>
  <c r="F26" i="9"/>
  <c r="C26" i="9" s="1"/>
  <c r="E100" i="8"/>
  <c r="C105" i="8"/>
  <c r="E19" i="9"/>
  <c r="C19" i="9"/>
  <c r="J12" i="9"/>
  <c r="J11" i="9"/>
  <c r="C55" i="1"/>
  <c r="C107" i="8"/>
  <c r="C75" i="8"/>
  <c r="C40" i="8"/>
  <c r="I10" i="9"/>
  <c r="H10" i="9"/>
  <c r="D19" i="8"/>
  <c r="G36" i="5" s="1"/>
  <c r="C33" i="8"/>
  <c r="I20" i="9" l="1"/>
  <c r="I26" i="9"/>
  <c r="I19" i="9"/>
  <c r="I21" i="9"/>
  <c r="I25" i="9"/>
  <c r="I27" i="9"/>
  <c r="I22" i="9"/>
  <c r="I24" i="9"/>
  <c r="I28" i="9"/>
  <c r="I23" i="9"/>
  <c r="D24" i="9"/>
  <c r="D28" i="9"/>
  <c r="D27" i="9"/>
  <c r="D26" i="9"/>
  <c r="D25" i="9"/>
  <c r="D23" i="9"/>
  <c r="D22" i="9"/>
  <c r="D20" i="9"/>
  <c r="D19" i="9"/>
  <c r="D21" i="9"/>
  <c r="C103" i="8"/>
  <c r="C104" i="8"/>
  <c r="D100" i="8"/>
  <c r="F63" i="8"/>
  <c r="F60" i="8"/>
  <c r="F61" i="8"/>
  <c r="F62" i="8"/>
  <c r="C70" i="8"/>
  <c r="C66" i="8"/>
  <c r="E66" i="8"/>
  <c r="G67" i="8"/>
  <c r="E67" i="8"/>
  <c r="D67" i="8"/>
  <c r="C67" i="8"/>
  <c r="G66" i="8"/>
  <c r="D66" i="8"/>
  <c r="F59" i="8"/>
  <c r="D35" i="5"/>
  <c r="E35" i="5" s="1"/>
  <c r="F35" i="5" s="1"/>
  <c r="G35" i="5" s="1"/>
  <c r="C106" i="8" l="1"/>
  <c r="C108" i="8" s="1"/>
  <c r="C109" i="8" s="1"/>
  <c r="B113" i="8" s="1"/>
  <c r="F66" i="8"/>
  <c r="C71" i="8" s="1"/>
  <c r="C73" i="8" s="1"/>
  <c r="C76" i="8" s="1"/>
  <c r="C78" i="8" s="1"/>
  <c r="B83" i="8" s="1"/>
  <c r="F67" i="8"/>
  <c r="C72" i="8" s="1"/>
  <c r="C74" i="8" s="1"/>
  <c r="C77" i="8" s="1"/>
  <c r="C79" i="8" s="1"/>
  <c r="D27" i="8"/>
  <c r="C15" i="8"/>
  <c r="C12" i="8"/>
  <c r="C13" i="8" s="1"/>
  <c r="C19" i="8" s="1"/>
  <c r="G24" i="7"/>
  <c r="F24" i="7"/>
  <c r="E24" i="7"/>
  <c r="D24" i="7"/>
  <c r="C24" i="7"/>
  <c r="C11" i="6"/>
  <c r="D11" i="6"/>
  <c r="E11" i="6"/>
  <c r="F11" i="6"/>
  <c r="G11" i="6"/>
  <c r="C19" i="5"/>
  <c r="D9" i="6" s="1"/>
  <c r="C47" i="4"/>
  <c r="C48" i="4" s="1"/>
  <c r="C22" i="4"/>
  <c r="C63" i="1"/>
  <c r="C18" i="4"/>
  <c r="F41" i="1"/>
  <c r="F40" i="1"/>
  <c r="F12" i="3" s="1"/>
  <c r="F36" i="1"/>
  <c r="F38" i="1" s="1"/>
  <c r="F25" i="1"/>
  <c r="F24" i="1"/>
  <c r="F14" i="2" s="1"/>
  <c r="F16" i="1"/>
  <c r="F22" i="1" s="1"/>
  <c r="C35" i="4"/>
  <c r="C37" i="4"/>
  <c r="C36" i="4"/>
  <c r="C38" i="4" s="1"/>
  <c r="C39" i="4" s="1"/>
  <c r="G23" i="7"/>
  <c r="F23" i="7"/>
  <c r="E23" i="7"/>
  <c r="D23" i="7"/>
  <c r="C23" i="7"/>
  <c r="G15" i="6"/>
  <c r="F15" i="6"/>
  <c r="E15" i="6"/>
  <c r="D15" i="6"/>
  <c r="C15" i="6"/>
  <c r="G26" i="5"/>
  <c r="F26" i="5"/>
  <c r="G10" i="6" s="1"/>
  <c r="E26" i="5"/>
  <c r="F10" i="6" s="1"/>
  <c r="D26" i="5"/>
  <c r="E15" i="7" s="1"/>
  <c r="C26" i="5"/>
  <c r="D15" i="7" s="1"/>
  <c r="G19" i="5"/>
  <c r="F19" i="5"/>
  <c r="G8" i="7" s="1"/>
  <c r="E19" i="5"/>
  <c r="F9" i="6" s="1"/>
  <c r="D19" i="5"/>
  <c r="E9" i="6" s="1"/>
  <c r="G11" i="5"/>
  <c r="F11" i="5"/>
  <c r="G14" i="7" s="1"/>
  <c r="E11" i="5"/>
  <c r="F14" i="7" s="1"/>
  <c r="D11" i="5"/>
  <c r="E14" i="7" s="1"/>
  <c r="C11" i="5"/>
  <c r="D14" i="7" s="1"/>
  <c r="C52" i="4"/>
  <c r="C49" i="4"/>
  <c r="C46" i="4"/>
  <c r="C45" i="4"/>
  <c r="C40" i="4"/>
  <c r="E27" i="4"/>
  <c r="C12" i="4"/>
  <c r="C11" i="4"/>
  <c r="C9" i="4"/>
  <c r="C7" i="4"/>
  <c r="C6" i="4"/>
  <c r="C43" i="8" s="1"/>
  <c r="C5" i="4"/>
  <c r="E12" i="3"/>
  <c r="D12" i="3"/>
  <c r="C12" i="3"/>
  <c r="E10" i="3"/>
  <c r="D10" i="3"/>
  <c r="C10" i="3"/>
  <c r="J9" i="3"/>
  <c r="I9" i="3"/>
  <c r="H9" i="3"/>
  <c r="G9" i="3"/>
  <c r="F9" i="3"/>
  <c r="E9" i="3"/>
  <c r="H8" i="9" s="1"/>
  <c r="D9" i="3"/>
  <c r="C9" i="3"/>
  <c r="E8" i="3"/>
  <c r="H7" i="9" s="1"/>
  <c r="D8" i="3"/>
  <c r="C8" i="3"/>
  <c r="J7" i="3"/>
  <c r="I7" i="3"/>
  <c r="H7" i="3"/>
  <c r="G7" i="3"/>
  <c r="F7" i="3"/>
  <c r="E7" i="3"/>
  <c r="D7" i="3"/>
  <c r="E6" i="3"/>
  <c r="H6" i="9" s="1"/>
  <c r="D6" i="3"/>
  <c r="C6" i="3"/>
  <c r="E26" i="2"/>
  <c r="D26" i="2"/>
  <c r="C26" i="2"/>
  <c r="E14" i="2"/>
  <c r="D14" i="2"/>
  <c r="C14" i="2"/>
  <c r="E12" i="2"/>
  <c r="D12" i="2"/>
  <c r="C12" i="2"/>
  <c r="E10" i="2"/>
  <c r="D10" i="2"/>
  <c r="D24" i="2" s="1"/>
  <c r="C10" i="2"/>
  <c r="E8" i="2"/>
  <c r="D8" i="2"/>
  <c r="C8" i="2"/>
  <c r="F6" i="2"/>
  <c r="E6" i="2"/>
  <c r="D6" i="2"/>
  <c r="C6" i="2"/>
  <c r="J44" i="1"/>
  <c r="I44" i="1"/>
  <c r="H44" i="1"/>
  <c r="G44" i="1"/>
  <c r="F44" i="1"/>
  <c r="E44" i="1"/>
  <c r="D44" i="1"/>
  <c r="J41" i="1"/>
  <c r="I41" i="1"/>
  <c r="H41" i="1"/>
  <c r="G41" i="1"/>
  <c r="E41" i="1"/>
  <c r="D41" i="1"/>
  <c r="C41" i="1"/>
  <c r="J40" i="1"/>
  <c r="J12" i="3" s="1"/>
  <c r="I40" i="1"/>
  <c r="I12" i="3" s="1"/>
  <c r="H40" i="1"/>
  <c r="H12" i="3" s="1"/>
  <c r="G40" i="1"/>
  <c r="G12" i="3" s="1"/>
  <c r="E39" i="1"/>
  <c r="E11" i="3" s="1"/>
  <c r="D39" i="1"/>
  <c r="D11" i="3" s="1"/>
  <c r="D14" i="3" s="1"/>
  <c r="C39" i="1"/>
  <c r="C11" i="3" s="1"/>
  <c r="J25" i="1"/>
  <c r="I25" i="1"/>
  <c r="H25" i="1"/>
  <c r="G25" i="1"/>
  <c r="E25" i="1"/>
  <c r="D25" i="1"/>
  <c r="C25" i="1"/>
  <c r="J24" i="1"/>
  <c r="J14" i="2" s="1"/>
  <c r="I24" i="1"/>
  <c r="I14" i="2" s="1"/>
  <c r="H24" i="1"/>
  <c r="H14" i="2" s="1"/>
  <c r="G24" i="1"/>
  <c r="G14" i="2" s="1"/>
  <c r="E22" i="1"/>
  <c r="D22" i="1"/>
  <c r="C22" i="1"/>
  <c r="E20" i="1"/>
  <c r="E13" i="2" s="1"/>
  <c r="D20" i="1"/>
  <c r="C13" i="2"/>
  <c r="D23" i="1" l="1"/>
  <c r="C50" i="4"/>
  <c r="C51" i="4" s="1"/>
  <c r="C14" i="3"/>
  <c r="C9" i="2"/>
  <c r="D101" i="8"/>
  <c r="C29" i="9"/>
  <c r="D29" i="9" s="1"/>
  <c r="E29" i="9" s="1"/>
  <c r="I29" i="9" s="1"/>
  <c r="D9" i="2"/>
  <c r="F42" i="1"/>
  <c r="E9" i="2"/>
  <c r="F23" i="1"/>
  <c r="C53" i="4"/>
  <c r="D7" i="2"/>
  <c r="E25" i="2"/>
  <c r="E11" i="2"/>
  <c r="I8" i="9" s="1"/>
  <c r="I6" i="9"/>
  <c r="J6" i="9" s="1"/>
  <c r="C66" i="9" s="1"/>
  <c r="D25" i="2"/>
  <c r="D28" i="2" s="1"/>
  <c r="E24" i="2"/>
  <c r="I7" i="9"/>
  <c r="J7" i="9" s="1"/>
  <c r="E27" i="8"/>
  <c r="E8" i="6"/>
  <c r="E10" i="6"/>
  <c r="D8" i="6"/>
  <c r="D10" i="6"/>
  <c r="G30" i="5"/>
  <c r="G8" i="6"/>
  <c r="G9" i="6"/>
  <c r="F30" i="5"/>
  <c r="F8" i="6"/>
  <c r="F7" i="2"/>
  <c r="C11" i="2"/>
  <c r="E7" i="2"/>
  <c r="C16" i="2"/>
  <c r="C13" i="4"/>
  <c r="C29" i="4" s="1"/>
  <c r="D11" i="2"/>
  <c r="C17" i="2"/>
  <c r="C18" i="2" s="1"/>
  <c r="C19" i="2" s="1"/>
  <c r="D13" i="2"/>
  <c r="D16" i="2" s="1"/>
  <c r="D17" i="2" s="1"/>
  <c r="D18" i="2" s="1"/>
  <c r="D19" i="2" s="1"/>
  <c r="F17" i="1"/>
  <c r="F8" i="2" s="1"/>
  <c r="F9" i="2" s="1"/>
  <c r="C7" i="7"/>
  <c r="F18" i="1"/>
  <c r="G16" i="1"/>
  <c r="G6" i="2" s="1"/>
  <c r="G7" i="2" s="1"/>
  <c r="F6" i="3"/>
  <c r="F19" i="1"/>
  <c r="F12" i="2" s="1"/>
  <c r="F37" i="1"/>
  <c r="C12" i="7" s="1"/>
  <c r="C24" i="2"/>
  <c r="C25" i="2"/>
  <c r="G36" i="1"/>
  <c r="G38" i="1" s="1"/>
  <c r="E23" i="1"/>
  <c r="C41" i="4"/>
  <c r="F21" i="1"/>
  <c r="E14" i="3"/>
  <c r="E15" i="3" s="1"/>
  <c r="E16" i="3" s="1"/>
  <c r="H9" i="9" s="1"/>
  <c r="C10" i="4"/>
  <c r="C28" i="4" s="1"/>
  <c r="C8" i="4"/>
  <c r="C27" i="4" s="1"/>
  <c r="E16" i="2"/>
  <c r="E17" i="2" s="1"/>
  <c r="E18" i="2" s="1"/>
  <c r="D15" i="3"/>
  <c r="D16" i="3" s="1"/>
  <c r="C15" i="3"/>
  <c r="C16" i="3" s="1"/>
  <c r="G21" i="1"/>
  <c r="D24" i="8" s="1"/>
  <c r="C6" i="7"/>
  <c r="C9" i="7" s="1"/>
  <c r="D66" i="9" s="1"/>
  <c r="F15" i="7"/>
  <c r="D6" i="7"/>
  <c r="G15" i="7"/>
  <c r="H36" i="1"/>
  <c r="C30" i="5"/>
  <c r="D8" i="7"/>
  <c r="G19" i="1"/>
  <c r="G12" i="2" s="1"/>
  <c r="D30" i="5"/>
  <c r="E8" i="7"/>
  <c r="E30" i="5"/>
  <c r="F8" i="7"/>
  <c r="E28" i="2" l="1"/>
  <c r="J8" i="9"/>
  <c r="C38" i="7"/>
  <c r="C67" i="9"/>
  <c r="C12" i="6"/>
  <c r="F12" i="6"/>
  <c r="G12" i="6"/>
  <c r="D12" i="6"/>
  <c r="E12" i="6"/>
  <c r="E19" i="2"/>
  <c r="I9" i="9"/>
  <c r="J9" i="9" s="1"/>
  <c r="C23" i="4"/>
  <c r="F26" i="2"/>
  <c r="C24" i="8"/>
  <c r="F27" i="2"/>
  <c r="C25" i="8"/>
  <c r="E28" i="8"/>
  <c r="F27" i="8"/>
  <c r="D28" i="8"/>
  <c r="E36" i="5"/>
  <c r="C28" i="8"/>
  <c r="D36" i="5"/>
  <c r="F36" i="5"/>
  <c r="C38" i="5"/>
  <c r="C41" i="5"/>
  <c r="C36" i="5"/>
  <c r="G16" i="6"/>
  <c r="G17" i="6" s="1"/>
  <c r="C16" i="6"/>
  <c r="C17" i="6" s="1"/>
  <c r="E16" i="6"/>
  <c r="E17" i="6" s="1"/>
  <c r="D16" i="6"/>
  <c r="D17" i="6" s="1"/>
  <c r="D7" i="7"/>
  <c r="D9" i="7" s="1"/>
  <c r="G18" i="1"/>
  <c r="D22" i="8" s="1"/>
  <c r="H16" i="1"/>
  <c r="H18" i="1" s="1"/>
  <c r="E22" i="8" s="1"/>
  <c r="C15" i="4"/>
  <c r="C30" i="4" s="1"/>
  <c r="C13" i="7"/>
  <c r="C16" i="7" s="1"/>
  <c r="D67" i="9" s="1"/>
  <c r="F20" i="1"/>
  <c r="C23" i="8" s="1"/>
  <c r="F10" i="2"/>
  <c r="G42" i="1"/>
  <c r="G37" i="1"/>
  <c r="F16" i="6"/>
  <c r="F17" i="6" s="1"/>
  <c r="G6" i="3"/>
  <c r="G17" i="1"/>
  <c r="G8" i="2" s="1"/>
  <c r="G9" i="2" s="1"/>
  <c r="G22" i="1"/>
  <c r="G23" i="1" s="1"/>
  <c r="D25" i="8" s="1"/>
  <c r="C28" i="2"/>
  <c r="F39" i="1"/>
  <c r="F43" i="1" s="1"/>
  <c r="C19" i="6" s="1"/>
  <c r="C89" i="9" s="1"/>
  <c r="F8" i="3"/>
  <c r="F11" i="3"/>
  <c r="G26" i="2"/>
  <c r="C19" i="7"/>
  <c r="F10" i="3"/>
  <c r="D19" i="7"/>
  <c r="G10" i="3"/>
  <c r="H37" i="1"/>
  <c r="H42" i="1"/>
  <c r="H6" i="3"/>
  <c r="H38" i="1"/>
  <c r="I36" i="1"/>
  <c r="E6" i="7"/>
  <c r="C42" i="5" l="1"/>
  <c r="E7" i="7"/>
  <c r="G27" i="2"/>
  <c r="D10" i="7"/>
  <c r="E66" i="9"/>
  <c r="J10" i="9"/>
  <c r="C68" i="9"/>
  <c r="F25" i="2"/>
  <c r="F14" i="3"/>
  <c r="F15" i="3" s="1"/>
  <c r="F16" i="3" s="1"/>
  <c r="F17" i="3" s="1"/>
  <c r="C55" i="4"/>
  <c r="C26" i="8"/>
  <c r="C29" i="8" s="1"/>
  <c r="F13" i="2"/>
  <c r="F16" i="2" s="1"/>
  <c r="F17" i="2" s="1"/>
  <c r="F18" i="2" s="1"/>
  <c r="G27" i="8"/>
  <c r="F28" i="8"/>
  <c r="C62" i="1"/>
  <c r="E28" i="4" s="1"/>
  <c r="C17" i="7"/>
  <c r="D13" i="7"/>
  <c r="G10" i="2"/>
  <c r="G20" i="1"/>
  <c r="D23" i="8" s="1"/>
  <c r="D26" i="8" s="1"/>
  <c r="D29" i="8" s="1"/>
  <c r="F24" i="2"/>
  <c r="F11" i="2"/>
  <c r="H6" i="2"/>
  <c r="H7" i="2" s="1"/>
  <c r="D12" i="7"/>
  <c r="G8" i="3"/>
  <c r="H21" i="1"/>
  <c r="E24" i="8" s="1"/>
  <c r="H22" i="1"/>
  <c r="H23" i="1" s="1"/>
  <c r="E25" i="8" s="1"/>
  <c r="E9" i="7"/>
  <c r="H17" i="1"/>
  <c r="H8" i="2" s="1"/>
  <c r="H19" i="1"/>
  <c r="H12" i="2" s="1"/>
  <c r="I16" i="1"/>
  <c r="I19" i="1" s="1"/>
  <c r="I12" i="2" s="1"/>
  <c r="C19" i="4"/>
  <c r="C20" i="4" s="1"/>
  <c r="C21" i="4" s="1"/>
  <c r="G39" i="1"/>
  <c r="H10" i="3"/>
  <c r="H39" i="1"/>
  <c r="H43" i="1" s="1"/>
  <c r="E19" i="6" s="1"/>
  <c r="E89" i="9" s="1"/>
  <c r="H8" i="3"/>
  <c r="E12" i="7"/>
  <c r="I42" i="1"/>
  <c r="I6" i="3"/>
  <c r="I38" i="1"/>
  <c r="J36" i="1"/>
  <c r="F6" i="7"/>
  <c r="I37" i="1"/>
  <c r="E13" i="7"/>
  <c r="H10" i="2"/>
  <c r="C31" i="4"/>
  <c r="H26" i="2" l="1"/>
  <c r="I18" i="1"/>
  <c r="F22" i="8" s="1"/>
  <c r="F28" i="2"/>
  <c r="I22" i="1"/>
  <c r="I21" i="1"/>
  <c r="F24" i="8" s="1"/>
  <c r="J16" i="1"/>
  <c r="J17" i="1" s="1"/>
  <c r="J8" i="2" s="1"/>
  <c r="F7" i="7"/>
  <c r="F9" i="7" s="1"/>
  <c r="G66" i="9" s="1"/>
  <c r="E31" i="4"/>
  <c r="C32" i="4" s="1"/>
  <c r="C36" i="7"/>
  <c r="C37" i="7" s="1"/>
  <c r="C39" i="7" s="1"/>
  <c r="E10" i="7"/>
  <c r="F66" i="9"/>
  <c r="F20" i="2"/>
  <c r="C7" i="6"/>
  <c r="C13" i="6" s="1"/>
  <c r="C20" i="6" s="1"/>
  <c r="E19" i="7"/>
  <c r="H20" i="1"/>
  <c r="E23" i="8" s="1"/>
  <c r="E26" i="8" s="1"/>
  <c r="E29" i="8" s="1"/>
  <c r="G28" i="8"/>
  <c r="D16" i="7"/>
  <c r="G25" i="2"/>
  <c r="G13" i="2"/>
  <c r="G16" i="2" s="1"/>
  <c r="G17" i="2" s="1"/>
  <c r="G18" i="2" s="1"/>
  <c r="H27" i="2"/>
  <c r="G43" i="1"/>
  <c r="G11" i="3"/>
  <c r="D6" i="6" s="1"/>
  <c r="G24" i="2"/>
  <c r="G11" i="2"/>
  <c r="H11" i="2"/>
  <c r="H24" i="2"/>
  <c r="I23" i="1"/>
  <c r="F25" i="8" s="1"/>
  <c r="I17" i="1"/>
  <c r="I8" i="2" s="1"/>
  <c r="I6" i="2"/>
  <c r="I7" i="2" s="1"/>
  <c r="H9" i="2"/>
  <c r="E16" i="7"/>
  <c r="F67" i="9" s="1"/>
  <c r="I39" i="1"/>
  <c r="I43" i="1" s="1"/>
  <c r="F19" i="6" s="1"/>
  <c r="F89" i="9" s="1"/>
  <c r="I8" i="3"/>
  <c r="F12" i="7"/>
  <c r="F19" i="2"/>
  <c r="J19" i="1"/>
  <c r="J12" i="2" s="1"/>
  <c r="J6" i="2"/>
  <c r="I20" i="1"/>
  <c r="F23" i="8" s="1"/>
  <c r="I10" i="2"/>
  <c r="F13" i="7"/>
  <c r="J6" i="3"/>
  <c r="J38" i="1"/>
  <c r="G6" i="7"/>
  <c r="J37" i="1"/>
  <c r="J42" i="1"/>
  <c r="H11" i="3"/>
  <c r="E6" i="6" s="1"/>
  <c r="I10" i="3"/>
  <c r="F19" i="7"/>
  <c r="J18" i="1" l="1"/>
  <c r="G22" i="8" s="1"/>
  <c r="C32" i="8" s="1"/>
  <c r="C34" i="8" s="1"/>
  <c r="C35" i="8" s="1"/>
  <c r="J21" i="1"/>
  <c r="G24" i="8" s="1"/>
  <c r="J22" i="1"/>
  <c r="J23" i="1" s="1"/>
  <c r="G25" i="8" s="1"/>
  <c r="G7" i="7"/>
  <c r="G9" i="7" s="1"/>
  <c r="I26" i="2"/>
  <c r="D17" i="7"/>
  <c r="E67" i="9"/>
  <c r="C22" i="6"/>
  <c r="C23" i="6" s="1"/>
  <c r="C90" i="9"/>
  <c r="C91" i="9" s="1"/>
  <c r="F26" i="8"/>
  <c r="F29" i="8" s="1"/>
  <c r="I27" i="2"/>
  <c r="G20" i="2"/>
  <c r="D7" i="6"/>
  <c r="D13" i="6" s="1"/>
  <c r="D20" i="6" s="1"/>
  <c r="D90" i="9" s="1"/>
  <c r="H14" i="3"/>
  <c r="H13" i="2"/>
  <c r="H16" i="2" s="1"/>
  <c r="H17" i="2" s="1"/>
  <c r="H18" i="2" s="1"/>
  <c r="E7" i="6" s="1"/>
  <c r="H25" i="2"/>
  <c r="H28" i="2" s="1"/>
  <c r="G14" i="3"/>
  <c r="G15" i="3" s="1"/>
  <c r="G16" i="3" s="1"/>
  <c r="G17" i="3" s="1"/>
  <c r="D19" i="6"/>
  <c r="D89" i="9" s="1"/>
  <c r="J9" i="2"/>
  <c r="G19" i="2"/>
  <c r="G28" i="2"/>
  <c r="E17" i="7"/>
  <c r="I9" i="2"/>
  <c r="J7" i="2"/>
  <c r="I11" i="2"/>
  <c r="I24" i="2"/>
  <c r="J26" i="2"/>
  <c r="H15" i="3"/>
  <c r="H16" i="3" s="1"/>
  <c r="H17" i="3" s="1"/>
  <c r="F10" i="7"/>
  <c r="F16" i="7"/>
  <c r="G67" i="9" s="1"/>
  <c r="J39" i="1"/>
  <c r="J43" i="1" s="1"/>
  <c r="G19" i="6" s="1"/>
  <c r="G89" i="9" s="1"/>
  <c r="J8" i="3"/>
  <c r="G12" i="7"/>
  <c r="I13" i="2"/>
  <c r="I16" i="2" s="1"/>
  <c r="I25" i="2"/>
  <c r="J20" i="1"/>
  <c r="G23" i="8" s="1"/>
  <c r="J10" i="2"/>
  <c r="G13" i="7"/>
  <c r="I11" i="3"/>
  <c r="F6" i="6" s="1"/>
  <c r="G20" i="7"/>
  <c r="F20" i="7"/>
  <c r="F21" i="7" s="1"/>
  <c r="E20" i="7"/>
  <c r="E21" i="7" s="1"/>
  <c r="E22" i="7" s="1"/>
  <c r="E25" i="7" s="1"/>
  <c r="E26" i="7" s="1"/>
  <c r="D20" i="7"/>
  <c r="D21" i="7" s="1"/>
  <c r="D22" i="7" s="1"/>
  <c r="D25" i="7" s="1"/>
  <c r="D26" i="7" s="1"/>
  <c r="C20" i="7"/>
  <c r="C21" i="7" s="1"/>
  <c r="C22" i="7" s="1"/>
  <c r="C25" i="7" s="1"/>
  <c r="J10" i="3"/>
  <c r="G19" i="7"/>
  <c r="G26" i="8" l="1"/>
  <c r="G29" i="8" s="1"/>
  <c r="C36" i="8" s="1"/>
  <c r="C39" i="8" s="1"/>
  <c r="C41" i="8" s="1"/>
  <c r="C42" i="8" s="1"/>
  <c r="B48" i="8" s="1"/>
  <c r="J27" i="2"/>
  <c r="D91" i="9"/>
  <c r="H9" i="7"/>
  <c r="H66" i="9"/>
  <c r="E13" i="6"/>
  <c r="E20" i="6" s="1"/>
  <c r="E90" i="9" s="1"/>
  <c r="E91" i="9" s="1"/>
  <c r="I14" i="3"/>
  <c r="I15" i="3" s="1"/>
  <c r="I16" i="3" s="1"/>
  <c r="I17" i="3" s="1"/>
  <c r="C26" i="7"/>
  <c r="C27" i="7" s="1"/>
  <c r="D68" i="9" s="1"/>
  <c r="I28" i="2"/>
  <c r="J11" i="2"/>
  <c r="J24" i="2"/>
  <c r="G21" i="7"/>
  <c r="J11" i="3"/>
  <c r="G6" i="6" s="1"/>
  <c r="F22" i="7"/>
  <c r="F25" i="7" s="1"/>
  <c r="F26" i="7" s="1"/>
  <c r="F17" i="7"/>
  <c r="J13" i="2"/>
  <c r="J16" i="2" s="1"/>
  <c r="J25" i="2"/>
  <c r="G10" i="7"/>
  <c r="I17" i="2"/>
  <c r="I18" i="2" s="1"/>
  <c r="F7" i="6" s="1"/>
  <c r="F13" i="6" s="1"/>
  <c r="F20" i="6" s="1"/>
  <c r="F90" i="9" s="1"/>
  <c r="F91" i="9" s="1"/>
  <c r="D27" i="7"/>
  <c r="E68" i="9" s="1"/>
  <c r="D22" i="6"/>
  <c r="D23" i="6" s="1"/>
  <c r="H20" i="2"/>
  <c r="H19" i="2"/>
  <c r="G16" i="7"/>
  <c r="E27" i="7"/>
  <c r="F68" i="9" s="1"/>
  <c r="H16" i="7" l="1"/>
  <c r="H67" i="9"/>
  <c r="E22" i="6"/>
  <c r="E23" i="6" s="1"/>
  <c r="C44" i="8"/>
  <c r="J14" i="3"/>
  <c r="J15" i="3" s="1"/>
  <c r="J16" i="3" s="1"/>
  <c r="J17" i="3" s="1"/>
  <c r="J28" i="2"/>
  <c r="I19" i="2"/>
  <c r="I20" i="2"/>
  <c r="C28" i="7"/>
  <c r="F27" i="7"/>
  <c r="G68" i="9" s="1"/>
  <c r="E28" i="7"/>
  <c r="D28" i="7"/>
  <c r="F22" i="6"/>
  <c r="F23" i="6" s="1"/>
  <c r="G17" i="7"/>
  <c r="G22" i="7"/>
  <c r="G25" i="7" s="1"/>
  <c r="G26" i="7" s="1"/>
  <c r="J17" i="2"/>
  <c r="J18" i="2" s="1"/>
  <c r="J20" i="2" l="1"/>
  <c r="G7" i="6"/>
  <c r="G13" i="6" s="1"/>
  <c r="G20" i="6" s="1"/>
  <c r="G90" i="9" s="1"/>
  <c r="G91" i="9" s="1"/>
  <c r="J19" i="2"/>
  <c r="F28" i="7"/>
  <c r="G27" i="7"/>
  <c r="G22" i="6" l="1"/>
  <c r="G23" i="6" s="1"/>
  <c r="H27" i="7"/>
  <c r="H68" i="9"/>
  <c r="G2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F6" authorId="0" shapeId="0" xr:uid="{BB70A233-50E0-4EDB-A09F-43D3DE15B0B6}">
      <text>
        <r>
          <rPr>
            <b/>
            <sz val="9"/>
            <color indexed="81"/>
            <rFont val="Tahoma"/>
            <family val="2"/>
          </rPr>
          <t>Anvay:</t>
        </r>
        <r>
          <rPr>
            <sz val="9"/>
            <color indexed="81"/>
            <rFont val="Tahoma"/>
            <family val="2"/>
          </rPr>
          <t xml:space="preserve">
Management shared in the Q3FY26 earnings call (Jan 19, 2026) that the domestic business is expected to grow around 11–12%, which is about 200–300 bps higher than the IPM growth of ~9%.
For the international business, the company guided for high single-digit growth.
So overall, assuming 12% blended growth looks reasonable and conservative, especially since the company has already delivered around 11–12% growth in the first 9 months of the year</t>
        </r>
      </text>
    </comment>
    <comment ref="G6" authorId="0" shapeId="0" xr:uid="{73FD6265-D8D5-4BF5-9771-63EEF173C285}">
      <text>
        <r>
          <rPr>
            <b/>
            <sz val="9"/>
            <color indexed="81"/>
            <rFont val="Tahoma"/>
            <family val="2"/>
          </rPr>
          <t>Anvay:</t>
        </r>
        <r>
          <rPr>
            <sz val="9"/>
            <color indexed="81"/>
            <rFont val="Tahoma"/>
            <family val="2"/>
          </rPr>
          <t xml:space="preserve">
Torrent’s full consolidation benefit is expected from FY27, since the merger is likely to be completed by Q4 FY26.
Additional growth is expected from cross-selling opportunities in the Cardiac and Gastro segments, along with Torrent’s larger field force helping expand the reach of JB’s brands. The ophthalmology portfolio is also scaling up and contributing to growth.
Apart from this, the CDMO business was also guided to grow around 10–12% in the Q3FY26 conference call.</t>
        </r>
      </text>
    </comment>
    <comment ref="H6" authorId="0" shapeId="0" xr:uid="{7CCE7B75-B5B7-445D-8A4E-0A2C930969CB}">
      <text>
        <r>
          <rPr>
            <b/>
            <sz val="9"/>
            <color indexed="81"/>
            <rFont val="Tahoma"/>
            <family val="2"/>
          </rPr>
          <t>Anvay:</t>
        </r>
        <r>
          <rPr>
            <sz val="9"/>
            <color indexed="81"/>
            <rFont val="Tahoma"/>
            <family val="2"/>
          </rPr>
          <t xml:space="preserve">
A full year benefit from revenue synergies is expected, with around ₹60–75 Cr modelled in the estimates.
JB had historically delivered around 19% revenue CAGR between FY21 and FY24 (as mentioned in the Deal Brief, page 7).
Compared to this, the 13% growth assumption looks quite conservative, especially considering Torrent’s strong execution track record. For example, after the Curatio acquisition, Torrent managed to deliver around 27% growth post integration</t>
        </r>
      </text>
    </comment>
    <comment ref="I6" authorId="0" shapeId="0" xr:uid="{9D1601ED-5526-498C-84CF-0189A09F5C61}">
      <text>
        <r>
          <rPr>
            <b/>
            <sz val="9"/>
            <color indexed="81"/>
            <rFont val="Tahoma"/>
            <family val="2"/>
          </rPr>
          <t>Anvay:</t>
        </r>
        <r>
          <rPr>
            <sz val="9"/>
            <color indexed="81"/>
            <rFont val="Tahoma"/>
            <family val="2"/>
          </rPr>
          <t xml:space="preserve">
Growth is expected to normalize as the initial synergy-driven acceleration starts slowing down.
Over the long term, the IPM industry is expected to grow around 9–10%, while JB is expected to continue outperforming the industry by around 100–200 basis points.
By this stage, the ophthalmology portfolio is also expected to become more mature and stable.
</t>
        </r>
      </text>
    </comment>
    <comment ref="J6" authorId="0" shapeId="0" xr:uid="{E9561291-A8E2-4560-9DFF-97F1810BB344}">
      <text>
        <r>
          <rPr>
            <b/>
            <sz val="9"/>
            <color indexed="81"/>
            <rFont val="Tahoma"/>
            <family val="2"/>
          </rPr>
          <t>Anvay:</t>
        </r>
        <r>
          <rPr>
            <sz val="9"/>
            <color indexed="81"/>
            <rFont val="Tahoma"/>
            <family val="2"/>
          </rPr>
          <t xml:space="preserve">
In the terminal years, growth is expected to gradually move toward a more sustainable long-term level.
The Indian pharma sector is estimated to grow at around 9–10% CAGR over the long run (IQVIA estimate).
JB’s strong brand portfolio and market presence should help the company maintain slightly higher growth than the overall industry.</t>
        </r>
      </text>
    </comment>
    <comment ref="F7" authorId="0" shapeId="0" xr:uid="{C1ED69CC-DF62-4DCA-A2DF-A25BF9D6E158}">
      <text>
        <r>
          <rPr>
            <b/>
            <sz val="9"/>
            <color indexed="81"/>
            <rFont val="Tahoma"/>
            <family val="2"/>
          </rPr>
          <t>Anvay:</t>
        </r>
        <r>
          <rPr>
            <sz val="9"/>
            <color indexed="81"/>
            <rFont val="Tahoma"/>
            <family val="2"/>
          </rPr>
          <t xml:space="preserve">
In the Q3FY26 conference call, the company reported that gross margins improved by 200 basis points YoY to 69.1% in Q3FY26.
CFO Narayan Saraf also mentioned that gross margins are expected to reach around 68–69% by the end of the year.
However, the FY26 full-year assumption is kept at 67%, which is lower than the Q3 peak margin. This is done to remain conservative and to account for seasonal product mix changes and the usually weaker domestic market demand seen in March quarter (Q4).</t>
        </r>
      </text>
    </comment>
    <comment ref="G7" authorId="0" shapeId="0" xr:uid="{77187739-C48D-4E4C-B290-82724A3DDA52}">
      <text>
        <r>
          <rPr>
            <b/>
            <sz val="9"/>
            <color indexed="81"/>
            <rFont val="Tahoma"/>
            <family val="2"/>
          </rPr>
          <t>Anvay:</t>
        </r>
        <r>
          <rPr>
            <sz val="9"/>
            <color indexed="81"/>
            <rFont val="Tahoma"/>
            <family val="2"/>
          </rPr>
          <t xml:space="preserve">
Margins are expected to improve gradually because of multiple factors:
1. The share of chronic products is increasing, and these products usually have higher margins.
2.The ophthalmology brands acquired from the Novartis portfolio are premium-priced, which supports better profitability.
3.The CDMO business mix is improving, especially in the lozenges segment.
4.Torrent is also expected to generate procurement synergies by combining API sourcing, which should help reduce costs. The Deal Brief estimates around ₹20–40 Cr cost synergy from procurement benefits.</t>
        </r>
      </text>
    </comment>
    <comment ref="F8" authorId="0" shapeId="0" xr:uid="{0E9605F1-5317-4064-B329-D32EB2CBFA7B}">
      <text>
        <r>
          <rPr>
            <b/>
            <sz val="9"/>
            <color indexed="81"/>
            <rFont val="Tahoma"/>
            <family val="2"/>
          </rPr>
          <t>Anvay:</t>
        </r>
        <r>
          <rPr>
            <sz val="9"/>
            <color indexed="81"/>
            <rFont val="Tahoma"/>
            <family val="2"/>
          </rPr>
          <t xml:space="preserve">
Management clearly guided for operating margins of around 27–29% for FY26 during the Q3FY26 conference call, as mentioned by CFO Narayan Saraf.
The company had already achieved an EBITDA margin of 28.7% in Q3FY26 itself.
Based on this, the model assumes a full-year EBITDA margin of 28.5%, which is slightly lower than the Q3 level to stay conservative, considering Q4 generally sees some seasonal softness.</t>
        </r>
      </text>
    </comment>
    <comment ref="G8" authorId="0" shapeId="0" xr:uid="{4754A69D-87C8-4FA1-908A-64F230FB4A1E}">
      <text>
        <r>
          <rPr>
            <b/>
            <sz val="9"/>
            <color indexed="81"/>
            <rFont val="Tahoma"/>
            <family val="2"/>
          </rPr>
          <t>Anvay:</t>
        </r>
        <r>
          <rPr>
            <sz val="9"/>
            <color indexed="81"/>
            <rFont val="Tahoma"/>
            <family val="2"/>
          </rPr>
          <t xml:space="preserve">
During Torrent’s Q3FY26 conference call, CFO Sudhir Menon mentioned that there is still significant scope for margin improvement in JB as a standalone business.
Torrent itself operates at a much higher EBITDA margin of around 32.9%, which shows the potential for further efficiency improvement after integration.
The model also assumes that cost synergies will start reflecting from Year 1 itself. Around ₹85 Cr of synergies are expected initially, which translates to nearly 200 basis points margin benefit on JB’s revenue base.</t>
        </r>
      </text>
    </comment>
    <comment ref="E9" authorId="0" shapeId="0" xr:uid="{0DD40B1C-6349-4B03-8091-13F329CFED6E}">
      <text>
        <r>
          <rPr>
            <b/>
            <sz val="9"/>
            <color indexed="81"/>
            <rFont val="Tahoma"/>
            <family val="2"/>
          </rPr>
          <t>Anvay:</t>
        </r>
        <r>
          <rPr>
            <sz val="9"/>
            <color indexed="81"/>
            <rFont val="Tahoma"/>
            <family val="2"/>
          </rPr>
          <t xml:space="preserve">
Actual — ₹171Cr / ₹3,918Cr. Rising due to intangible amortisation from KKR era acquisitions</t>
        </r>
      </text>
    </comment>
    <comment ref="F9" authorId="0" shapeId="0" xr:uid="{24EE381E-9747-47CE-BE21-5037DDB87413}">
      <text>
        <r>
          <rPr>
            <b/>
            <sz val="9"/>
            <color indexed="81"/>
            <rFont val="Tahoma"/>
            <family val="2"/>
          </rPr>
          <t>Anvay:</t>
        </r>
        <r>
          <rPr>
            <sz val="9"/>
            <color indexed="81"/>
            <rFont val="Tahoma"/>
            <family val="2"/>
          </rPr>
          <t xml:space="preserve">
“D&amp;A consists of two main components:
Depreciation on tangible assets, which is estimated at around 3.0–3.2% of revenue and is consistent with the company’s PP&amp;E base.
Amortisation of existing intangible assets, mainly related to the KKR-era goodwill of around ₹1,385 Cr on JB’s balance sheet. Based on the 15-year amortisation policy, this works out to roughly ₹92 Cr per year.
The ratio is expected to decline slightly over time because some of the older KKR-related intangibles will get fully amortised, while the revenue base is expected to grow faster than D&amp;A expenses.
Also, this represents JB’s standalone D&amp;A only. The acquisition goodwill arising from Torrent’s purchase is accounted for separately in the ProForma sheet.”</t>
        </r>
      </text>
    </comment>
    <comment ref="F10" authorId="0" shapeId="0" xr:uid="{C27F0DA7-4633-4B99-8E95-D9E6D5D24685}">
      <text>
        <r>
          <rPr>
            <b/>
            <sz val="9"/>
            <color indexed="81"/>
            <rFont val="Tahoma"/>
            <family val="2"/>
          </rPr>
          <t>Anvay:</t>
        </r>
        <r>
          <rPr>
            <sz val="9"/>
            <color indexed="81"/>
            <rFont val="Tahoma"/>
            <family val="2"/>
          </rPr>
          <t xml:space="preserve">
“JB has already completed most of its major capacity expansion, with 8 manufacturing plants currently operational.
Because of this, future CapEx is expected to remain at more normalised maintenance levels.
The Deal Brief (page 11) also mentions that JB’s maintenance and expansion CapEx will be broadly in line with its historical CapEx as a percentage of sales.
The model assumes CapEx at around 3.2% of revenue, which comes to nearly ₹140–158 Cr based on projected revenue. This looks reasonable compared to FY25 actual CapEx of around ₹120 Cr reported on Screener, along with some additional growth-related spending.”</t>
        </r>
      </text>
    </comment>
    <comment ref="H10" authorId="0" shapeId="0" xr:uid="{3BA0D00A-0F51-42B0-8545-5289658351EA}">
      <text>
        <r>
          <rPr>
            <b/>
            <sz val="9"/>
            <color indexed="81"/>
            <rFont val="Tahoma"/>
            <family val="2"/>
          </rPr>
          <t>Anvay:</t>
        </r>
        <r>
          <rPr>
            <sz val="9"/>
            <color indexed="81"/>
            <rFont val="Tahoma"/>
            <family val="2"/>
          </rPr>
          <t xml:space="preserve">
CapEx is expected to moderate slightly over time as the combined entity starts benefiting from Torrent’s existing manufacturing network.
Some JB products can eventually be shifted to Torrent’s plants, which should reduce the need for large standalone capacity expansion going forward.</t>
        </r>
      </text>
    </comment>
    <comment ref="E11" authorId="0" shapeId="0" xr:uid="{591BFC3F-DC3D-47B4-BE95-7AED4ACA09D8}">
      <text>
        <r>
          <rPr>
            <b/>
            <sz val="9"/>
            <color indexed="81"/>
            <rFont val="Tahoma"/>
            <family val="2"/>
          </rPr>
          <t>Anvay:</t>
        </r>
        <r>
          <rPr>
            <sz val="9"/>
            <color indexed="81"/>
            <rFont val="Tahoma"/>
            <family val="2"/>
          </rPr>
          <t xml:space="preserve">
Actual — Screener: NWC days 109 days; ₹1,172Cr NWC / ₹3,918Cr = 29.9%</t>
        </r>
      </text>
    </comment>
    <comment ref="F11" authorId="0" shapeId="0" xr:uid="{FA9B83FB-39A2-41DE-ADAF-D39B14F9544A}">
      <text>
        <r>
          <rPr>
            <b/>
            <sz val="9"/>
            <color indexed="81"/>
            <rFont val="Tahoma"/>
            <family val="2"/>
          </rPr>
          <t>Anvay:</t>
        </r>
        <r>
          <rPr>
            <sz val="9"/>
            <color indexed="81"/>
            <rFont val="Tahoma"/>
            <family val="2"/>
          </rPr>
          <t xml:space="preserve">
Working capital is expected to see a slight increase because the open offer and change-of-control process could temporarily affect collections and normal business operations.
Torrent management had also mentioned in the Q3FY26 conference call that Q4 FY26 performance “could be a little muted” due to certain business practice changes during the transition process, as highlighted by Aman Mehta.</t>
        </r>
      </text>
    </comment>
    <comment ref="G11" authorId="0" shapeId="0" xr:uid="{FF904F13-BD13-4768-BB6E-251B826DE4DE}">
      <text>
        <r>
          <rPr>
            <b/>
            <sz val="9"/>
            <color indexed="81"/>
            <rFont val="Tahoma"/>
            <family val="2"/>
          </rPr>
          <t>Anvay:</t>
        </r>
        <r>
          <rPr>
            <sz val="9"/>
            <color indexed="81"/>
            <rFont val="Tahoma"/>
            <family val="2"/>
          </rPr>
          <t xml:space="preserve">
Working capital efficiency is expected to improve gradually as Torrent applies its stronger procurement systems and collections discipline to the business.
JB’s debtor days, which were around 76 days in FY25, are expected to move closer to Torrent’s lower level of around 59 days over time.
Inventory management should also improve because of the benefits of larger combined scale and better operational efficiency after integration</t>
        </r>
      </text>
    </comment>
    <comment ref="E12" authorId="0" shapeId="0" xr:uid="{2111181E-BBF2-40B9-98FF-BB354BA19CED}">
      <text>
        <r>
          <rPr>
            <b/>
            <sz val="9"/>
            <color indexed="81"/>
            <rFont val="Tahoma"/>
            <family val="2"/>
          </rPr>
          <t>Anvay:</t>
        </r>
        <r>
          <rPr>
            <sz val="9"/>
            <color indexed="81"/>
            <rFont val="Tahoma"/>
            <family val="2"/>
          </rPr>
          <t xml:space="preserve">
By FY25, JB had already repaid almost all of its debt, with total borrowings reduced to around ₹28 Cr.
In the Q3FY26 conference call, the CFO also mentioned that the company has repaid all its debt and is now generating treasury income from its surplus cash position.</t>
        </r>
      </text>
    </comment>
    <comment ref="F12" authorId="0" shapeId="0" xr:uid="{D439011E-D9C9-4B91-B164-3B44E03126FE}">
      <text>
        <r>
          <rPr>
            <b/>
            <sz val="9"/>
            <color indexed="81"/>
            <rFont val="Tahoma"/>
            <family val="2"/>
          </rPr>
          <t>Anvay:</t>
        </r>
        <r>
          <rPr>
            <sz val="9"/>
            <color indexed="81"/>
            <rFont val="Tahoma"/>
            <family val="2"/>
          </rPr>
          <t xml:space="preserve">
JB is now effectively a debt-free company.
The remaining interest expense mainly relates to lease liabilities (around ₹12 Cr on the FY25 balance sheet) and small working capital facilities.
Because of this, interest expense is modelled at only around ₹5–8 Cr, which is largely just a placeholder assumption.
Also, this represents only JB’s standalone interest cost. The much larger NCD-related interest burden of ₹950 Cr+ is accounted for separately in Torrent’s standalone sheet.</t>
        </r>
      </text>
    </comment>
    <comment ref="F13" authorId="0" shapeId="0" xr:uid="{54A6B7E9-AC0B-4A28-98BB-98B5F605F0AE}">
      <text>
        <r>
          <rPr>
            <b/>
            <sz val="9"/>
            <color indexed="81"/>
            <rFont val="Tahoma"/>
            <family val="2"/>
          </rPr>
          <t>Anvay:</t>
        </r>
        <r>
          <rPr>
            <sz val="9"/>
            <color indexed="81"/>
            <rFont val="Tahoma"/>
            <family val="2"/>
          </rPr>
          <t xml:space="preserve">
JB is a manufacturing company and is eligible for the lower corporate tax regime, with a base tax rate of 25.17% including surcharge and cess, resulting in an effective tax rate of around 25.8%.
No major deferred tax reversals are expected going forward, so the tax rate is assumed to remain stable during the projection period.
The model keeps the tax rate flat because no major tax incentives or changes in the tax regime are currently expected.</t>
        </r>
      </text>
    </comment>
    <comment ref="F28" authorId="0" shapeId="0" xr:uid="{D85F151D-C1B2-4FEF-868B-4C60E5CA277C}">
      <text>
        <r>
          <rPr>
            <b/>
            <sz val="9"/>
            <color indexed="81"/>
            <rFont val="Tahoma"/>
            <family val="2"/>
          </rPr>
          <t>Anvay:</t>
        </r>
        <r>
          <rPr>
            <sz val="9"/>
            <color indexed="81"/>
            <rFont val="Tahoma"/>
            <family val="2"/>
          </rPr>
          <t xml:space="preserve">
In the Q3FY26 conference call (Feb 13, 2026), Torrent reported Q3 revenue of around ₹3,303 Cr, showing 18% YoY growth.
The India business grew 14%, Brazil grew 27% (around 10% in constant currency), and the US business grew 19%.
FY26 also includes the impact of JB’s consolidation starting from Jan-26. As mentioned by Aman Mehta, JB will be consolidated line-by-line from Q4 FY26 onwards.
This consolidation itself is expected to add nearly ₹1,000 Cr revenue in Q4 alone. Because of this strong second half performance and partial JB contribution, the full-year blended growth assumption of 13.2% looks reasonable.</t>
        </r>
      </text>
    </comment>
    <comment ref="G28" authorId="0" shapeId="0" xr:uid="{CC81254F-6386-4CED-89B9-DF3F0C7338D7}">
      <text>
        <r>
          <rPr>
            <b/>
            <sz val="9"/>
            <color indexed="81"/>
            <rFont val="Tahoma"/>
            <family val="2"/>
          </rPr>
          <t>Anvay:</t>
        </r>
        <r>
          <rPr>
            <sz val="9"/>
            <color indexed="81"/>
            <rFont val="Tahoma"/>
            <family val="2"/>
          </rPr>
          <t xml:space="preserve">
FY27 will be the first full year of JB’s consolidation into Torrent’s financials.
Torrent’s India business is expected to continue growing faster than the overall IPM industry. In Brazil, the company also has a potential growth opportunity from the GLP-1 segment, with its Semaglutide pipeline currently awaiting ANVISA approval.
In the US market, management has guided toward achieving the $200 million revenue milestone, as mentioned by Sanjay Gupta during the Q3FY26 conference call.
Overall, the combined entity is expected to maintain strong top-line momentum across key markets.</t>
        </r>
      </text>
    </comment>
    <comment ref="H28" authorId="0" shapeId="0" xr:uid="{5E94C676-3A9E-4BA5-BF91-3838F02FCF92}">
      <text>
        <r>
          <rPr>
            <b/>
            <sz val="9"/>
            <color indexed="81"/>
            <rFont val="Tahoma"/>
            <family val="2"/>
          </rPr>
          <t>Anvay:</t>
        </r>
        <r>
          <rPr>
            <sz val="9"/>
            <color indexed="81"/>
            <rFont val="Tahoma"/>
            <family val="2"/>
          </rPr>
          <t xml:space="preserve">
“Growth is expected to remain strong because of multiple factors:
1. Torrent has a strong presence in chronic therapies, with Cardiac and Gastro segments contributing around 76% of India revenue.
2. The Brazil business continues to benefit from regular new product launches, with around 5–6 launches planned every year.
3. The CDMO platform is also expected to contribute steady growth.
4. Additional growth opportunities should come from cross-selling JB brands through Torrent’s wider distribution and business divisions.”
</t>
        </r>
      </text>
    </comment>
    <comment ref="J28" authorId="0" shapeId="0" xr:uid="{D781BE29-6DF1-470D-973D-7FD661819C80}">
      <text>
        <r>
          <rPr>
            <b/>
            <sz val="9"/>
            <color indexed="81"/>
            <rFont val="Tahoma"/>
            <family val="2"/>
          </rPr>
          <t>Anvay:</t>
        </r>
        <r>
          <rPr>
            <sz val="9"/>
            <color indexed="81"/>
            <rFont val="Tahoma"/>
            <family val="2"/>
          </rPr>
          <t xml:space="preserve">
The terminal year growth assumption is kept conservative to reflect a more normalised long-term growth phase.
Before the JB deal, Torrent had delivered around 8% revenue CAGR over the last 5 years (as per Screener data).
The model assumes 8.5% growth going forward, which factors in some benefits from larger scale and synergies, while also considering that growth may moderate as the business matures.</t>
        </r>
      </text>
    </comment>
    <comment ref="F29" authorId="0" shapeId="0" xr:uid="{C3844A69-2573-409B-BF5C-30E9B3B7677E}">
      <text>
        <r>
          <rPr>
            <b/>
            <sz val="9"/>
            <color indexed="81"/>
            <rFont val="Tahoma"/>
            <family val="2"/>
          </rPr>
          <t>Anvay:</t>
        </r>
        <r>
          <rPr>
            <sz val="9"/>
            <color indexed="81"/>
            <rFont val="Tahoma"/>
            <family val="2"/>
          </rPr>
          <t xml:space="preserve">
In Q3FY26, Torrent reported an EBITDA margin of 32.9%.
Margins benefited from strong operating leverage in the India business and continued scaling of the Curatio portfolio, which grew around 27% in Q3.
However, the consolidation of JB from Q4 onwards is expected to slightly dilute the overall blended margin, since JB operates at a relatively lower EBITDA margin of around 28%.</t>
        </r>
      </text>
    </comment>
    <comment ref="G29" authorId="0" shapeId="0" xr:uid="{EAACD08D-89BF-421D-9F1A-A508B036EF3A}">
      <text>
        <r>
          <rPr>
            <b/>
            <sz val="9"/>
            <color indexed="81"/>
            <rFont val="Tahoma"/>
            <family val="2"/>
          </rPr>
          <t>Anvay:</t>
        </r>
        <r>
          <rPr>
            <sz val="9"/>
            <color indexed="81"/>
            <rFont val="Tahoma"/>
            <family val="2"/>
          </rPr>
          <t xml:space="preserve">
Margins are expected to improve further as cost synergies of around ₹160–425 Cr start flowing into the business.
Torrent has historically benefited from strong operating leverage, where every 1% increase in revenue generally adds around 15–20 basis points to EBITDA margin.
The company has also discontinued its trading generics business, which carried almost zero margins. CFO Sudhir Menon specifically highlighted this action during the Q3FY26 conference call.
In addition, field force productivity is expected to improve, with management targeting around 7,500 medical representatives by the end of FY27.</t>
        </r>
      </text>
    </comment>
    <comment ref="F30" authorId="0" shapeId="0" xr:uid="{3F37452E-9D5C-4679-BCB0-C851E18A9DF3}">
      <text>
        <r>
          <rPr>
            <b/>
            <sz val="9"/>
            <color indexed="81"/>
            <rFont val="Tahoma"/>
            <family val="2"/>
          </rPr>
          <t>Anvay:</t>
        </r>
        <r>
          <rPr>
            <sz val="9"/>
            <color indexed="81"/>
            <rFont val="Tahoma"/>
            <family val="2"/>
          </rPr>
          <t xml:space="preserve">
D&amp;A mainly consists of two parts:
1. Depreciation on tangible assets, estimated at around 3.5–4.0% of revenue, which is consistent with Torrent’s large PP&amp;E base of around ₹7,947 Cr as of FY25.
2. Amortisation of intangible assets related to acquisitions such as Unichem, Curatio, Elder, and other acquired brands. These intangibles are amortised over 15 years, a policy that was specifically confirmed by CFO Sudhir Menon during the Q3FY26 conference call.
The D&amp;A percentage is expected to decline gradually over time because revenue is projected to grow faster than the relatively fixed intangible amortisation expense.</t>
        </r>
      </text>
    </comment>
    <comment ref="F31" authorId="0" shapeId="0" xr:uid="{0B1E42B7-43A7-42E3-8CF7-73D967F749CA}">
      <text>
        <r>
          <rPr>
            <b/>
            <sz val="9"/>
            <color indexed="81"/>
            <rFont val="Tahoma"/>
            <family val="2"/>
          </rPr>
          <t>Anvay:</t>
        </r>
        <r>
          <rPr>
            <sz val="9"/>
            <color indexed="81"/>
            <rFont val="Tahoma"/>
            <family val="2"/>
          </rPr>
          <t xml:space="preserve">
After the deal, Torrent is expected to carry around ₹12,500 Cr of NCD debt at a blended interest rate of nearly 7.6%, resulting in annual interest cost of roughly ₹950 Cr.
In addition to this, the company also has existing debt-related interest expense of around ₹100 Cr, taking the total projected interest cost to nearly ₹1,050 Cr.
During the Q3FY26 conference call, CFO Sudhir Menon mentioned that the company’s average cost of interest is around 7.6%. The Deal Brief also confirmed NCD yields in the range of 7.2–7.8%.</t>
        </r>
      </text>
    </comment>
    <comment ref="G31" authorId="0" shapeId="0" xr:uid="{A743208D-B35D-4E63-A9D5-A198A6B3CA41}">
      <text>
        <r>
          <rPr>
            <b/>
            <sz val="9"/>
            <color indexed="81"/>
            <rFont val="Tahoma"/>
            <family val="2"/>
          </rPr>
          <t>Anvay:</t>
        </r>
        <r>
          <rPr>
            <sz val="9"/>
            <color indexed="81"/>
            <rFont val="Tahoma"/>
            <family val="2"/>
          </rPr>
          <t xml:space="preserve">
Repayment of the NCD principal is expected to start from FY27, in line with management’s target of reducing Net Debt-to-EBITDA to around 1.0–1.1x by FY28, as guided by the CFO.
The model assumes that nearly ₹2,500 Cr of debt will be repaid in FY27. As a result, the outstanding NCD balance would reduce to around ₹10,000 Cr.
At an interest rate of roughly 7.6%, this would translate to around ₹760 Cr annual interest cost, along with some additional residual interest expenses.</t>
        </r>
      </text>
    </comment>
    <comment ref="H31" authorId="0" shapeId="0" xr:uid="{54F22593-5EAA-49BB-B661-184E4ADB9CCE}">
      <text>
        <r>
          <rPr>
            <b/>
            <sz val="9"/>
            <color indexed="81"/>
            <rFont val="Tahoma"/>
            <family val="2"/>
          </rPr>
          <t>Anvay:</t>
        </r>
        <r>
          <rPr>
            <sz val="9"/>
            <color indexed="81"/>
            <rFont val="Tahoma"/>
            <family val="2"/>
          </rPr>
          <t xml:space="preserve">
Management has guided that Net Debt-to-EBITDA should reduce to around 1–1.1x by FY28.
Based on estimated EBITDA of nearly ₹4,800 Cr, this implies net debt of around ₹5,280 Cr.
At this level, annual interest expense is estimated at roughly ₹850 Cr, assuming a mix of lower-cost borrowing facilities over time.
</t>
        </r>
      </text>
    </comment>
    <comment ref="I31" authorId="0" shapeId="0" xr:uid="{417302FC-07FB-4225-997D-832BE61187C0}">
      <text>
        <r>
          <rPr>
            <b/>
            <sz val="9"/>
            <color indexed="81"/>
            <rFont val="Tahoma"/>
            <family val="2"/>
          </rPr>
          <t>Anvay:</t>
        </r>
        <r>
          <rPr>
            <sz val="9"/>
            <color indexed="81"/>
            <rFont val="Tahoma"/>
            <family val="2"/>
          </rPr>
          <t xml:space="preserve">
Debt reduction is expected to continue steadily over the coming years.
Management has guided for a medium-term target of reducing Net Debt-to-EBITDA to below 0.5x by FY29, as mentioned by the CFO during the Q3FY26 conference call.
Based on this deleveraging plan, the model assumes interest expense of around ₹450 Cr by FY30, which mainly reflects residual debt remaining on the balance sheet.</t>
        </r>
      </text>
    </comment>
    <comment ref="F32" authorId="0" shapeId="0" xr:uid="{BE4E46BB-8421-450D-8F0A-3C7200168161}">
      <text>
        <r>
          <rPr>
            <b/>
            <sz val="9"/>
            <color indexed="81"/>
            <rFont val="Tahoma"/>
            <family val="2"/>
          </rPr>
          <t>Anvay:</t>
        </r>
        <r>
          <rPr>
            <sz val="9"/>
            <color indexed="81"/>
            <rFont val="Tahoma"/>
            <family val="2"/>
          </rPr>
          <t xml:space="preserve">
Torrent has gradually been shifting toward the new tax regime, and a 27% tax rate now looks like a more stable long-term assumption.
This is broadly in line with the effective corporate tax structure of around 25.17% plus surcharge and cess.
The reduction from the higher tax rate of 32.8% in FY23 appears to be structural, with Screener data showing a gradual decline over the last few years.
While management has not provided any specific tax rate guidance, assuming 27% looks reasonable considering the company’s growing share of India domestic profits and the absence of major export-linked tax deductions going forward.</t>
        </r>
      </text>
    </comment>
    <comment ref="F33" authorId="0" shapeId="0" xr:uid="{12FF4047-696D-48D3-BE31-4558B4D0017D}">
      <text>
        <r>
          <rPr>
            <b/>
            <sz val="9"/>
            <color indexed="81"/>
            <rFont val="Tahoma"/>
            <family val="2"/>
          </rPr>
          <t>Anvay:</t>
        </r>
        <r>
          <rPr>
            <sz val="9"/>
            <color indexed="81"/>
            <rFont val="Tahoma"/>
            <family val="2"/>
          </rPr>
          <t xml:space="preserve">
Torrent’s existing manufacturing capacity is largely sufficient for future growth needs.
The Deal Brief (page 11) had guided standalone Torrent CapEx at around ₹250–300 Cr for regular maintenance and expansion before the JB acquisition.
After the JB deal, Torrent will also gain access to JB’s 8 manufacturing plants, which strengthens the combined manufacturing network and reduces the need for large greenfield investments going forward.
The model assumes CapEx at around 4.2% of revenue, which comes to nearly ₹547 Cr on projected revenue of around ₹13,028 Cr.
</t>
        </r>
      </text>
    </comment>
    <comment ref="G33" authorId="0" shapeId="0" xr:uid="{EA170D25-C041-4FE2-95DD-545056CF4F25}">
      <text>
        <r>
          <rPr>
            <b/>
            <sz val="9"/>
            <color indexed="81"/>
            <rFont val="Tahoma"/>
            <family val="2"/>
          </rPr>
          <t>Anvay:</t>
        </r>
        <r>
          <rPr>
            <sz val="9"/>
            <color indexed="81"/>
            <rFont val="Tahoma"/>
            <family val="2"/>
          </rPr>
          <t xml:space="preserve">
CapEx is expected to gradually decline over time because of several factors:
1. JB’s manufacturing plants provide additional capacity buffer for future growth.
2. Management’s current focus is on deleveraging, so free cash flow is expected to be prioritised more toward debt repayment rather than aggressive CapEx spending.
3The CDMO business is relatively asset-light compared to the formulations business, which also helps reduce future capital expenditure requirements.</t>
        </r>
      </text>
    </comment>
    <comment ref="C47" authorId="0" shapeId="0" xr:uid="{D4CB3A5D-6297-4D23-8DE5-E28E93DD1965}">
      <text>
        <r>
          <rPr>
            <b/>
            <sz val="9"/>
            <color indexed="81"/>
            <rFont val="Tahoma"/>
            <family val="2"/>
          </rPr>
          <t>Anvay:</t>
        </r>
        <r>
          <rPr>
            <sz val="9"/>
            <color indexed="81"/>
            <rFont val="Tahoma"/>
            <family val="2"/>
          </rPr>
          <t xml:space="preserve">
The fully diluted share count is derived using the headline equity valuation mentioned in the Deal Brief.
Total equity value of ₹25,689 Cr divided by the SPA price of ₹1,600 per share gives a fully diluted share count of around 16.056 Cr shares.
This calculation includes all outstanding ESOP grants, as the Deal Brief specifically states that the ₹25,689 Cr equity valuation is on a fully diluted basis.</t>
        </r>
      </text>
    </comment>
    <comment ref="C48" authorId="0" shapeId="0" xr:uid="{6987025A-08F4-4D1E-AB91-1E0DC91A87BA}">
      <text>
        <r>
          <rPr>
            <b/>
            <sz val="9"/>
            <color indexed="81"/>
            <rFont val="Tahoma"/>
            <family val="2"/>
          </rPr>
          <t>Anvay:</t>
        </r>
        <r>
          <rPr>
            <sz val="9"/>
            <color indexed="81"/>
            <rFont val="Tahoma"/>
            <family val="2"/>
          </rPr>
          <t xml:space="preserve">
This represents the exact price agreed between Torrent and KKR’s investment vehicle, Tau Investment Holdings Pte. Ltd., under the Share Purchase Agreement (SPA) signed on June 29, 2025.
The same agreed price was applied across all three tranches of the transaction, including:
KKR’s 46.39% stake
Employee and ESOP-related 2.41% stake
The source for this is the Deal Brief, where the transaction details and pricing are referenced multiple times.</t>
        </r>
      </text>
    </comment>
    <comment ref="C49" authorId="0" shapeId="0" xr:uid="{06EDC910-7F60-4A65-AE52-253051E769CE}">
      <text>
        <r>
          <rPr>
            <b/>
            <sz val="9"/>
            <color indexed="81"/>
            <rFont val="Tahoma"/>
            <family val="2"/>
          </rPr>
          <t>Anvay:</t>
        </r>
        <r>
          <rPr>
            <sz val="9"/>
            <color indexed="81"/>
            <rFont val="Tahoma"/>
            <family val="2"/>
          </rPr>
          <t xml:space="preserve">
Open Offer is a SEBI requirement where, if a company acquires more than 25% stake in a listed company, it must also give public shareholders an opportunity to sell their shares. The open offer price is determined based on whichever is higher between the acquisition price and the 60-day average market price (VWAP). In this case, the SPA price was ₹1,600 per share, while the 60-day VWAP was ₹1,639.18, so SEBI fixed the open offer price at ₹1,639.18. However, before the deal announcement, JB Pharma’s market price was around ₹1,801 per share, which was about 9% higher than the open offer price. As a result, most public shareholders preferred selling in the market instead of tendering shares in the open offer, leading to near-zero acceptance.
</t>
        </r>
      </text>
    </comment>
    <comment ref="C50" authorId="0" shapeId="0" xr:uid="{A29D5A91-4F9E-49F5-BC0E-A7AD1B8193DC}">
      <text>
        <r>
          <rPr>
            <b/>
            <sz val="9"/>
            <color indexed="81"/>
            <rFont val="Tahoma"/>
            <family val="2"/>
          </rPr>
          <t>Anvay:</t>
        </r>
        <r>
          <rPr>
            <sz val="9"/>
            <color indexed="81"/>
            <rFont val="Tahoma"/>
            <family val="2"/>
          </rPr>
          <t xml:space="preserve">
46.39% stake represents the shares in JB Pharma held by KKR out of the company’s total 16.05 Cr fully diluted shares. Torrent acquired this entire stake from KKR, giving it a controlling stake in the company, meaning enough ownership to gain management control.</t>
        </r>
      </text>
    </comment>
    <comment ref="C51" authorId="0" shapeId="0" xr:uid="{F50E83A8-00BF-46EA-83BD-16B80F15F418}">
      <text>
        <r>
          <rPr>
            <b/>
            <sz val="9"/>
            <color indexed="81"/>
            <rFont val="Tahoma"/>
            <family val="2"/>
          </rPr>
          <t>Anvay:</t>
        </r>
        <r>
          <rPr>
            <sz val="9"/>
            <color indexed="81"/>
            <rFont val="Tahoma"/>
            <family val="2"/>
          </rPr>
          <t xml:space="preserve">
After announcing the deal with KKR, Torrent also signed a separate agreement with certain JB Pharma employees holding ESOPs and employee-owned shares. These employees agreed to sell their shares to Torrent at the same price of ₹1,600 per share. This helped Torrent further increase its ownership stake and strengthen control over JB Pharma even before the merger was completed.
</t>
        </r>
      </text>
    </comment>
    <comment ref="C52" authorId="0" shapeId="0" xr:uid="{434188A4-7D61-435F-9BC6-0720AE2C17DB}">
      <text>
        <r>
          <rPr>
            <b/>
            <sz val="9"/>
            <color indexed="81"/>
            <rFont val="Tahoma"/>
            <family val="2"/>
          </rPr>
          <t>Anvay:</t>
        </r>
        <r>
          <rPr>
            <sz val="9"/>
            <color indexed="81"/>
            <rFont val="Tahoma"/>
            <family val="2"/>
          </rPr>
          <t xml:space="preserve">
1.50% Open Offer Acceptance represents the model assumption for how many shares public shareholders would tender in Torrent’s open offer. Although the offer allowed Torrent to buy up to 26% additional stake, the model assumed that only 1.50% shares would actually be accepted. This was not a confirmed number; it was only an assumption, and actual participation was even lower. 
According to research, only 1,317 shares were acquired in one disclosed tranche, indicating near-zero participation. The model used a 1.5% assumption because the open offer price of ₹1,639 was lower than the market price of around ₹1,801, making it more attractive for shareholders to sell in the market instead of the open offer. 
Institutional investors like mutual funds and FIIs also usually avoid tendering shares below market price. Therefore, the model included a small 1.5% buffer to account for a few investors who might still tender shares for liquidity or convenience reasons.
</t>
        </r>
      </text>
    </comment>
    <comment ref="C53" authorId="0" shapeId="0" xr:uid="{5F0668E1-EC0E-4EFF-807A-E38968597F5B}">
      <text>
        <r>
          <rPr>
            <b/>
            <sz val="9"/>
            <color indexed="81"/>
            <rFont val="Tahoma"/>
            <family val="2"/>
          </rPr>
          <t>Anvay:</t>
        </r>
        <r>
          <rPr>
            <sz val="9"/>
            <color indexed="81"/>
            <rFont val="Tahoma"/>
            <family val="2"/>
          </rPr>
          <t xml:space="preserve">
₹12,500 Cr NCD issuance refers to the debt funding raised by Torrent to finance the JB Pharma acquisition. Since the deal required a very large amount of capital, Torrent’s board approved the issuance of up to ₹12,500 Cr in Non-Convertible Debentures (NCDs) through private placement, meaning the bonds were issued directly to selected investors and lenders. 
Reports indicated the overall bond programme size was around ₹12,500–14,000 Cr, along with a ₹1,500 Cr commercial paper facility, but the actual completed NCD issuance was approximately ₹12,500 Cr. 
Global banks such as HSBC, Standard Chartered, and Barclays helped arrange the financing. These NCDs became the primary funding source for the acquisition, meaning Torrent mainly financed the JB deal through debt raised from the bond market.
</t>
        </r>
      </text>
    </comment>
    <comment ref="C54" authorId="0" shapeId="0" xr:uid="{B62CCB72-0D98-4E2B-80B1-F619943E52C5}">
      <text>
        <r>
          <rPr>
            <b/>
            <sz val="9"/>
            <color indexed="81"/>
            <rFont val="Tahoma"/>
            <family val="2"/>
          </rPr>
          <t>Anvay:</t>
        </r>
        <r>
          <rPr>
            <sz val="9"/>
            <color indexed="81"/>
            <rFont val="Tahoma"/>
            <family val="2"/>
          </rPr>
          <t xml:space="preserve">
7.6% represents Torrent’s estimated average borrowing cost for financing the JB Pharma acquisition. This is the approximate average interest rate Torrent will pay on the debt and NCDs raised for the deal. This figure comes directly from management commentary, where CFO Sudhir Menon stated during Torrent’s Q3 FY26 earnings call that the “average cost of interest is roughly 7.6%.”
</t>
        </r>
      </text>
    </comment>
    <comment ref="C56" authorId="0" shapeId="0" xr:uid="{16BBBA7E-6761-419F-BE1E-B39CF246923C}">
      <text>
        <r>
          <rPr>
            <b/>
            <sz val="9"/>
            <color indexed="81"/>
            <rFont val="Tahoma"/>
            <family val="2"/>
          </rPr>
          <t>Anvay:</t>
        </r>
        <r>
          <rPr>
            <sz val="9"/>
            <color indexed="81"/>
            <rFont val="Tahoma"/>
            <family val="2"/>
          </rPr>
          <t xml:space="preserve">
The swap ratio means that for every 100 shares of JB Pharma held by shareholders (other than Torrent), they will receive 51 shares of Torrent Pharmaceuticals after the merger. This ratio was officially approved by the JB board and disclosed in stock exchange filings on 29 June 2025. However, the merger is not yet completed, as it still requires approvals from SEBI, NCLT, shareholders, and creditors. According to management guidance, the merger is expected to be completed around 6–9 months after deal closing, likely by Q4 FY26.
</t>
        </r>
      </text>
    </comment>
    <comment ref="C57" authorId="0" shapeId="0" xr:uid="{9A7618AC-D032-4E32-9EAB-14D665092036}">
      <text>
        <r>
          <rPr>
            <b/>
            <sz val="9"/>
            <color indexed="81"/>
            <rFont val="Tahoma"/>
            <family val="2"/>
          </rPr>
          <t>Anvay:</t>
        </r>
        <r>
          <rPr>
            <sz val="9"/>
            <color indexed="81"/>
            <rFont val="Tahoma"/>
            <family val="2"/>
          </rPr>
          <t xml:space="preserve">
₹3,200 share price is the assumed Torrent share price used in the merger model calculations. Since JB Pharma minority shareholders will receive Torrent shares after the merger, the model needed an estimated Torrent share value to calculate the value of shares they would receive. The ₹3,200 figure is only a model assumption, not a fixed or official price. It was chosen because around the deal announcement period, Torrent shares were trading in the approximate range of ₹3,000–3,400, so the model used ₹3,200 as a reasonable midpoint estimate.
</t>
        </r>
      </text>
    </comment>
    <comment ref="C58" authorId="0" shapeId="0" xr:uid="{E95FD487-2FAF-4B37-9815-2F84F8843ABB}">
      <text>
        <r>
          <rPr>
            <b/>
            <sz val="9"/>
            <color indexed="81"/>
            <rFont val="Tahoma"/>
            <family val="2"/>
          </rPr>
          <t>Anvay:</t>
        </r>
        <r>
          <rPr>
            <sz val="9"/>
            <color indexed="81"/>
            <rFont val="Tahoma"/>
            <family val="2"/>
          </rPr>
          <t xml:space="preserve">
₹3,434 Cr represents JB Chemicals’ Book Equity or Net Worth as per its FY25 balance sheet. In simple terms, it is the value left for shareholders after subtracting total liabilities from total assets. 
The figure comes from JB’s balance sheet, where Share Capital was around ₹16 Cr and Reserves &amp; Surplus were approximately ₹3,418 Cr, resulting in a total net worth of ₹3,434 Cr. 
This is JB’s historical accounting value and serves as the base for goodwill and purchase price allocation (PPA) calculations. However, the actual business value was considered much higher because JB’s brands and other intangible assets had significantly greater market value than their accounting book value.
</t>
        </r>
      </text>
    </comment>
    <comment ref="C59" authorId="0" shapeId="0" xr:uid="{3F3EDDDC-A15F-4653-BC0E-87C19CC1C0F9}">
      <text>
        <r>
          <rPr>
            <b/>
            <sz val="9"/>
            <color indexed="81"/>
            <rFont val="Tahoma"/>
            <family val="2"/>
          </rPr>
          <t>Anvay:</t>
        </r>
        <r>
          <rPr>
            <sz val="9"/>
            <color indexed="81"/>
            <rFont val="Tahoma"/>
            <family val="2"/>
          </rPr>
          <t xml:space="preserve">
₹2,500 Cr Fair Value Uplift is not an officially disclosed figure but a model estimate used in the acquisition analysis. I assumes that the actual market value of JB Pharma’s brands and intangible assets is around ₹2,500 Cr higher than their carrying value on the balance sheet. 
This assumption was made because management stated during the Q3 FY26 conference call that the Purchase Price Allocation (PPA) process was still ongoing and final valuation numbers would be disclosed later. 
The uplift estimate reflects the strong value of JB’s pharma brands and franchises such as Cilacar, Nicardia, Rantac, the Sporlac franchise, the acquired Novartis ophthalmology portfolio, and the company’s lozenges CDMO business and related intellectual property. These assets may not be fully reflected in accounting book values, but their real market value can be significantly higher.
</t>
        </r>
      </text>
    </comment>
    <comment ref="C61" authorId="0" shapeId="0" xr:uid="{1198C6AD-EC1D-4BE5-A609-AA7E32F47CDE}">
      <text>
        <r>
          <rPr>
            <b/>
            <sz val="9"/>
            <color indexed="81"/>
            <rFont val="Tahoma"/>
            <family val="2"/>
          </rPr>
          <t>Anvay:</t>
        </r>
        <r>
          <rPr>
            <sz val="9"/>
            <color indexed="81"/>
            <rFont val="Tahoma"/>
            <family val="2"/>
          </rPr>
          <t xml:space="preserve">
This assumption is directly based on management commentary. During Torrent’s Q3FY26 Earnings Call on February 13, 2026, CFO Sudhir Menon clearly stated that “the amortisation policy for Torrent has been 15 years.” This represents Torrent’s standard accounting policy and has been consistently applied to acquired intangible assets from past acquisitions as well. Based on this policy, the annual amortisation charge is calculated by dividing goodwill by 15 years.</t>
        </r>
      </text>
    </comment>
    <comment ref="C62" authorId="0" shapeId="0" xr:uid="{C94A5849-1C5B-48C0-A972-DC498E71915E}">
      <text>
        <r>
          <rPr>
            <b/>
            <sz val="9"/>
            <color indexed="81"/>
            <rFont val="Tahoma"/>
            <family val="2"/>
          </rPr>
          <t>Anvay:</t>
        </r>
        <r>
          <rPr>
            <sz val="9"/>
            <color indexed="81"/>
            <rFont val="Tahoma"/>
            <family val="2"/>
          </rPr>
          <t xml:space="preserve">
₹362 Cr is not an officially disclosed figure but a model balancing amount used to ensure that Total Sources and Total Uses of funds match in the acquisition model. 
The total Uses of Funds were estimated at ₹12,991 Cr
Including payments to:
KKR (₹11,913 Cr)
ESOP holders (₹619 Cr)
Public shareholders through the open offer (₹394 Cr)
Transaction costs (₹65 Cr). 
On the funding side,
The Sources of Funds included ₹12,500 Cr raised through NCD debt
₹129 Cr of JB’s existing cash 
=totaling ₹12,629 Cr. 
This created a remaining funding gap of around ₹362 Cr, which the model assumes Torrent would pay using its own cash reserves. Torrent could comfortably afford this because, in FY25, it had total liquidity of around ₹1,418 Cr, including ₹579 Cr cash and ₹839 Cr liquid investments, making the ₹362 Cr gap only about 26% of its available liquidity.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C15" authorId="0" shapeId="0" xr:uid="{3A9E52B6-8957-4E3B-A1A7-BD11605A693E}">
      <text>
        <r>
          <rPr>
            <b/>
            <sz val="9"/>
            <color indexed="81"/>
            <rFont val="Tahoma"/>
            <family val="2"/>
          </rPr>
          <t>Anvay:</t>
        </r>
        <r>
          <rPr>
            <sz val="9"/>
            <color indexed="81"/>
            <rFont val="Tahoma"/>
            <family val="2"/>
          </rPr>
          <t xml:space="preserve">
In FY23, JB still had high debt of around ₹572 Cr from the KKR acquisition, so most treasury income was offset by interest costs. As a result, net other income remained low at around ₹10 Cr.
The income mainly came from short-term investments and surplus cash. Screener data shows normal other income of ₹1.6 Cr and exceptional income of around ₹4 Cr in FY23.</t>
        </r>
      </text>
    </comment>
    <comment ref="D15" authorId="0" shapeId="0" xr:uid="{250046BD-1DE9-4C81-9CB4-2DD1AD93BE97}">
      <text>
        <r>
          <rPr>
            <b/>
            <sz val="9"/>
            <color indexed="81"/>
            <rFont val="Tahoma"/>
            <family val="2"/>
          </rPr>
          <t>Anvay:</t>
        </r>
        <r>
          <rPr>
            <sz val="9"/>
            <color indexed="81"/>
            <rFont val="Tahoma"/>
            <family val="2"/>
          </rPr>
          <t xml:space="preserve">
In FY24, JB started aggressively repaying its acquisition debt, with borrowings reducing from ₹572 Cr to ₹378 Cr. As debt came down, surplus cash started building up.
The ₹37 Cr other income mainly included treasury income from mutual funds/FDs, dividend income from subsidiaries, and some miscellaneous income. Screener data shows normal other income of around ₹5.94 Cr along with unwinding of some KKR-era exceptional items.</t>
        </r>
      </text>
    </comment>
    <comment ref="E15" authorId="0" shapeId="0" xr:uid="{CCDD08E3-3C3D-49D9-9AE3-A8AF8B0085F4}">
      <text>
        <r>
          <rPr>
            <b/>
            <sz val="9"/>
            <color indexed="81"/>
            <rFont val="Tahoma"/>
            <family val="2"/>
          </rPr>
          <t>Anvay:</t>
        </r>
        <r>
          <rPr>
            <sz val="9"/>
            <color indexed="81"/>
            <rFont val="Tahoma"/>
            <family val="2"/>
          </rPr>
          <t xml:space="preserve">
By FY25, JB had become almost debt-free, with borrowings reduced to around ₹28 Cr, mainly lease liabilities. In the Q3FY26 Earnings Call, CFO Narayan Saraf mentioned that the company had repaid all its debt and was now earning higher treasury income by investing surplus cash as per its treasury policy.</t>
        </r>
      </text>
    </comment>
    <comment ref="F15" authorId="0" shapeId="0" xr:uid="{00DBBA05-7A16-4531-A277-680BFFB24440}">
      <text>
        <r>
          <rPr>
            <b/>
            <sz val="9"/>
            <color indexed="81"/>
            <rFont val="Tahoma"/>
            <family val="2"/>
          </rPr>
          <t>Anvay:</t>
        </r>
        <r>
          <rPr>
            <sz val="9"/>
            <color indexed="81"/>
            <rFont val="Tahoma"/>
            <family val="2"/>
          </rPr>
          <t xml:space="preserve">
The ₹20 Cr assumption is kept conservative because after the acquisition, JB will no longer manage its cash independently.
In FY25, other income was higher at ₹38 Cr mainly due to treasury income from surplus cash. Post-merger, this cash will move under Torrent’s treasury system, so JB’s standalone treasury income is expected to reduce sharply.
Torrent management also mentioned that JB’s dividend policy is currently paused after the change in control.
Because of this, the model assumes a lower and stable ₹20 Cr other income, mainly from residual dividends, miscellaneous income, and small interest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B6" authorId="0" shapeId="0" xr:uid="{E5EBA4E6-01C0-4832-A1C2-1E0725AA3D79}">
      <text>
        <r>
          <rPr>
            <b/>
            <sz val="9"/>
            <color indexed="81"/>
            <rFont val="Tahoma"/>
            <family val="2"/>
          </rPr>
          <t>Anvay:</t>
        </r>
        <r>
          <rPr>
            <sz val="9"/>
            <color indexed="81"/>
            <rFont val="Tahoma"/>
            <family val="2"/>
          </rPr>
          <t xml:space="preserve">
MR / Field Force Rationalisation means reducing duplicate pharma sales teams after the merger. Before the deal, both Torrent and JB had separate Medical Representatives (MRs) visiting many of the same doctors, especially in Cardiac and Gastro therapies. After the merger, a single MR can promote products from both companies in one visit, reducing duplicate costs such as extra MRs, managers, training, and promotional expenses, which lowers the overall sales force cost.
</t>
        </r>
      </text>
    </comment>
    <comment ref="C6" authorId="0" shapeId="0" xr:uid="{71EB0924-7A27-4BB2-A544-3AD032BB0C70}">
      <text>
        <r>
          <rPr>
            <b/>
            <sz val="9"/>
            <color indexed="81"/>
            <rFont val="Tahoma"/>
            <family val="2"/>
          </rPr>
          <t>Anvay:</t>
        </r>
        <r>
          <rPr>
            <sz val="9"/>
            <color indexed="81"/>
            <rFont val="Tahoma"/>
            <family val="2"/>
          </rPr>
          <t xml:space="preserve">
The savings estimate comes from reducing overlapping sales teams after the merger. The combined company could have around 12,000–13,000 Medical Representatives (MRs) and industry experience suggests that 10–15% of the field force may become redundant. 
If around 500–700 MRs are reduced, with each costing roughly ₹8–10 lakh annually, the company could save around ₹40–70 Cr. Additional savings of ₹15–25 Cr may come from removing duplicate managers and support structures, taking total potential savings to roughly ₹55–95 Cr+. 
So, I take (₹45 → ₹80 → ₹100 → ₹110 → ₹115 Cr) because restructuring takes time, requires planning and approvals and companies avoid disrupting doctor relationships, so the benefits build gradually over the years.
</t>
        </r>
      </text>
    </comment>
    <comment ref="B7" authorId="0" shapeId="0" xr:uid="{A852417F-3D88-49E3-AF56-34B5EAD9099C}">
      <text>
        <r>
          <rPr>
            <b/>
            <sz val="9"/>
            <color indexed="81"/>
            <rFont val="Tahoma"/>
            <family val="2"/>
          </rPr>
          <t>Anvay:</t>
        </r>
        <r>
          <rPr>
            <sz val="9"/>
            <color indexed="81"/>
            <rFont val="Tahoma"/>
            <family val="2"/>
          </rPr>
          <t xml:space="preserve">
Procurement &amp; API Sourcing synergies refer to cost savings from buying APIs (Active Pharmaceutical Ingredients), which are the main active chemicals used in medicines. Before the merger, Torrent and JB separately purchased APIs from suppliers in smaller quantities and negotiated independently. After the merger, the combined company can buy APIs in much larger volumes, giving it stronger bulk buying power and allowing it to negotiate better prices from suppliers which helps reduce overall procurement costs.</t>
        </r>
      </text>
    </comment>
    <comment ref="C7" authorId="0" shapeId="0" xr:uid="{49C0DB4C-BC22-40AD-9E01-E6412D338FF1}">
      <text>
        <r>
          <rPr>
            <b/>
            <sz val="9"/>
            <color indexed="81"/>
            <rFont val="Tahoma"/>
            <family val="2"/>
          </rPr>
          <t>Anvay:</t>
        </r>
        <r>
          <rPr>
            <sz val="9"/>
            <color indexed="81"/>
            <rFont val="Tahoma"/>
            <family val="2"/>
          </rPr>
          <t xml:space="preserve">
The savings estimate comes from the combined raw material and API procurement power of Torrent and JB Pharma. JB’s procurement was around ₹1,317 Cr, while Torrent’s was roughly ₹2,800–3,000 Cr, taking combined procurement above ₹4,000 Cr. Even a small 1.5–2% reduction in procurement costs could generate annual savings of around ₹60–80 Cr. 
Additional benefits come from supplier consolidation, where the merged company can use a single preferred supplier instead of multiple vendors, global sourcing advantages through Torrent’s larger network, and better volume discounts from placing larger orders. 
So, I show (₹20 → ₹40 → ₹55 → ₹60 → ₹65 Cr) because supplier contracts need renegotiation, approvals are required and vendor changes in pharma involve regulatory processes, so full savings may take 12–24 months to materialize.
</t>
        </r>
      </text>
    </comment>
    <comment ref="B8" authorId="0" shapeId="0" xr:uid="{53B4427B-504F-4225-89C1-A29CEA243C47}">
      <text>
        <r>
          <rPr>
            <b/>
            <sz val="9"/>
            <color indexed="81"/>
            <rFont val="Tahoma"/>
            <family val="2"/>
          </rPr>
          <t>Anvay:</t>
        </r>
        <r>
          <rPr>
            <sz val="9"/>
            <color indexed="81"/>
            <rFont val="Tahoma"/>
            <family val="2"/>
          </rPr>
          <t xml:space="preserve">
Manufacturing &amp; Plant Utilisation synergy refers to improving efficiency after combining Torrent and JB Pharma’s manufacturing networks. JB has 8 manufacturing plants and Torrent also has a large production network, so after the merger the combined capacity may become higher than required. 
This allows the company to reduce underutilised plants, shift production to the most efficient facilities and optimise manufacturing across the network.
</t>
        </r>
      </text>
    </comment>
    <comment ref="C8" authorId="0" shapeId="0" xr:uid="{7FD9ED81-7575-4F9E-835D-7E219CA0B9C8}">
      <text>
        <r>
          <rPr>
            <b/>
            <sz val="9"/>
            <color indexed="81"/>
            <rFont val="Tahoma"/>
            <family val="2"/>
          </rPr>
          <t>Anvay:</t>
        </r>
        <r>
          <rPr>
            <sz val="9"/>
            <color indexed="81"/>
            <rFont val="Tahoma"/>
            <family val="2"/>
          </rPr>
          <t xml:space="preserve">
I shows gradual savings (₹10 → ₹25 → ₹40 → ₹50 → ₹55 Cr) because pharma manufacturing transfers are a very slow process. Shifting production between plants requires regulatory approvals, validation batches and stability testing before commercial manufacturing can begin. 
Due to these strict regulatory requirements, full manufacturing synergies can take around 18 to 36 months to materialize.</t>
        </r>
      </text>
    </comment>
    <comment ref="B9" authorId="0" shapeId="0" xr:uid="{3346D8A9-E330-4DF8-86B3-871CF0C66D92}">
      <text>
        <r>
          <rPr>
            <b/>
            <sz val="9"/>
            <color indexed="81"/>
            <rFont val="Tahoma"/>
            <family val="2"/>
          </rPr>
          <t>Anvay:</t>
        </r>
        <r>
          <rPr>
            <sz val="9"/>
            <color indexed="81"/>
            <rFont val="Tahoma"/>
            <family val="2"/>
          </rPr>
          <t xml:space="preserve">
Corporate Overheads &amp; IT synergies refer to cost savings from removing duplicate corporate functions after the merger. Before the deal, Torrent and JB operated as separate companies with their own management teams, finance departments, IT systems, compliance structures and listed company expenses. 
After the merger, many of these duplicate functions can be consolidated into a single combined structure. Savings can come from eliminating separate listed company costs like board fees, auditors and investor relations expenses; reducing overlapping management roles; integrating IT systems such as ERP, CRM, and HR software and lowering other administrative costs like insurance, legal filings, and governance expenses. 
Management commentary also indicated that overlap reduction had already begun as JB CEO Nikhil Chopra and CFO Narayan Saraf resigned after the deal closed.
</t>
        </r>
      </text>
    </comment>
    <comment ref="C9" authorId="0" shapeId="0" xr:uid="{BE151852-93F7-42B2-B493-9852BD159F87}">
      <text>
        <r>
          <rPr>
            <b/>
            <sz val="9"/>
            <color indexed="81"/>
            <rFont val="Tahoma"/>
            <family val="2"/>
          </rPr>
          <t>Anvay:</t>
        </r>
        <r>
          <rPr>
            <sz val="9"/>
            <color indexed="81"/>
            <rFont val="Tahoma"/>
            <family val="2"/>
          </rPr>
          <t xml:space="preserve">
The model shows gradual savings (₹10 → ₹15 → ₹20 → ₹22 → ₹25 Cr) because simpler savings, such as removing duplicate management roles, can be achieved quickly, while larger IT integration benefits take much longer. 
Integrating ERP, CRM, HR systems, and other technology infrastructure across both companies can take around 2 to 3 years to complete fully.
</t>
        </r>
      </text>
    </comment>
    <comment ref="B10" authorId="0" shapeId="0" xr:uid="{FD7B833E-3105-4247-B87A-3C962C7E0590}">
      <text>
        <r>
          <rPr>
            <b/>
            <sz val="9"/>
            <color indexed="81"/>
            <rFont val="Tahoma"/>
            <family val="2"/>
          </rPr>
          <t>Anvay:</t>
        </r>
        <r>
          <rPr>
            <sz val="9"/>
            <color indexed="81"/>
            <rFont val="Tahoma"/>
            <family val="2"/>
          </rPr>
          <t xml:space="preserve">
Trade generics are low-priced unbranded medicines sold through wholesale and trade channels. JB Pharma’s trade generics business was operating at almost zero margin, meaning sales were happening but generating very little profit. 
During the Q3 FY26 earnings call, CFO Sudhir Menon stated that the company does not plan to continue this business because of weak margins and stock return issues. After the merger, Torrent is likely to shift some products into its existing generics business while reducing or discontinuing inefficient trade generics operations. This can create synergies by cutting unnecessary costs related to warehousing, logistics, distribution, returns processing, and sales infrastructure, even if overall revenue declines slightly.
</t>
        </r>
      </text>
    </comment>
    <comment ref="C10" authorId="0" shapeId="0" xr:uid="{5702A33E-78A2-46B8-B7B7-9F39911D4FEE}">
      <text>
        <r>
          <rPr>
            <b/>
            <sz val="9"/>
            <color indexed="81"/>
            <rFont val="Tahoma"/>
            <family val="2"/>
          </rPr>
          <t>Anvay:</t>
        </r>
        <r>
          <rPr>
            <sz val="9"/>
            <color indexed="81"/>
            <rFont val="Tahoma"/>
            <family val="2"/>
          </rPr>
          <t xml:space="preserve">
in FY27 and FY28 assumes zero. This is because the trade generics business cannot be shut down immediately due to factors like existing inventory clearance, distributor agreements, regulatory processes, pending merger/NCLT approvals and systems migration timelines. 
Therefore, the model assumes that noticeable cost savings will only start appearing gradually in later years.</t>
        </r>
      </text>
    </comment>
    <comment ref="E10" authorId="0" shapeId="0" xr:uid="{CE3893F8-85FA-49FE-A3C5-38875BE5703E}">
      <text>
        <r>
          <rPr>
            <b/>
            <sz val="9"/>
            <color indexed="81"/>
            <rFont val="Tahoma"/>
            <family val="2"/>
          </rPr>
          <t>Anvay:</t>
        </r>
        <r>
          <rPr>
            <sz val="9"/>
            <color indexed="81"/>
            <rFont val="Tahoma"/>
            <family val="2"/>
          </rPr>
          <t xml:space="preserve">
The model assumes that the trade generics business wind-down will be properly completed from FY29 onwards, after which savings of around ₹30 → ₹35 → ₹38 Cr start appearing. These are not gross margin improvements because the business was already operating at near-zero margins. The savings mainly come from reducing unnecessary operating costs after scaling down or discontinuing the business.
</t>
        </r>
      </text>
    </comment>
    <comment ref="E11" authorId="0" shapeId="0" xr:uid="{07CE52C3-AC7C-480C-9FD8-028A822E189D}">
      <text>
        <r>
          <rPr>
            <b/>
            <sz val="9"/>
            <color indexed="81"/>
            <rFont val="Tahoma"/>
            <family val="2"/>
          </rPr>
          <t>Anvay:</t>
        </r>
        <r>
          <rPr>
            <sz val="9"/>
            <color indexed="81"/>
            <rFont val="Tahoma"/>
            <family val="2"/>
          </rPr>
          <t xml:space="preserve">
The model shows only ₹245 Cr synergies by FY29 and around ₹298 Cr by FY31, which is roughly 58–70% of management’s stated synergy target. 
This is intentionally conservative because management guidance is often optimistic, while real world integration can face delays, execution issues, regulatory approvals and operational challenges. 
Therefore, the I applies an approximate 25 to 30% haircut to management guidance to create a more realistic and conservative estimate.
</t>
        </r>
      </text>
    </comment>
    <comment ref="C14" authorId="0" shapeId="0" xr:uid="{53DAD966-8919-4F26-BE1C-DFCD02C1FB96}">
      <text>
        <r>
          <rPr>
            <b/>
            <sz val="9"/>
            <color indexed="81"/>
            <rFont val="Tahoma"/>
            <family val="2"/>
          </rPr>
          <t>Anvay:</t>
        </r>
        <r>
          <rPr>
            <sz val="9"/>
            <color indexed="81"/>
            <rFont val="Tahoma"/>
            <family val="2"/>
          </rPr>
          <t xml:space="preserve">
I assumes zero revenue synergies in FY27 based on management commentary. During the Q3 FY26 call, Aman Mehta stated that the “first year would be pretty much business as usual,” meaning the initial focus would be on integration and stabilisation rather than aggressive growth. 
In the first year, the company is expected to prioritize systems alignment, field force restructuring, approvals and operational stability. So meaningful revenue synergies will begin from FY28 onwards, when the company can focus more on cross selling, distribution expansion and new product launches, allowing revenue benefits to build gradually.
</t>
        </r>
      </text>
    </comment>
    <comment ref="B15" authorId="0" shapeId="0" xr:uid="{9E80FEC4-1E59-4C44-9983-30D8DE7BC453}">
      <text>
        <r>
          <rPr>
            <b/>
            <sz val="9"/>
            <color indexed="81"/>
            <rFont val="Tahoma"/>
            <family val="2"/>
          </rPr>
          <t>Anvay:</t>
        </r>
        <r>
          <rPr>
            <sz val="9"/>
            <color indexed="81"/>
            <rFont val="Tahoma"/>
            <family val="2"/>
          </rPr>
          <t xml:space="preserve">
Cardiac/Gastro Cross Selling synergy is considered one of the most important revenue synergies in the merger because both Torrent and JB Pharma have strong positions in the Cardiac and Gastro segments. JB’s major brands, such as Cilacar, Nicardia, Sporlac, and Rantac, operate in these therapies. 
Before the merger, both companies used separate sales teams and covered different sets of doctors, which limited JB’s market reach compared to Torrent. After the merger, Torrent’s larger and stronger field force can also promote JB’s brands, helping these products reach more doctors and potentially increasing sales growth.
</t>
        </r>
      </text>
    </comment>
    <comment ref="D15" authorId="0" shapeId="0" xr:uid="{E37D8E4A-9FF9-4E0A-A1B5-7B27786112A9}">
      <text>
        <r>
          <rPr>
            <b/>
            <sz val="9"/>
            <color indexed="81"/>
            <rFont val="Tahoma"/>
            <family val="2"/>
          </rPr>
          <t>Anvay:</t>
        </r>
        <r>
          <rPr>
            <sz val="9"/>
            <color indexed="81"/>
            <rFont val="Tahoma"/>
            <family val="2"/>
          </rPr>
          <t xml:space="preserve">
I assumed that if JB Pharma’s domestic business achieves just 2–3% additional growth through cross selling, it could generate ₹50–80 Cr+ in extra revenue. Therefore, the model shows a gradual revenue synergy rampup of 
₹30 → ₹60 → ₹75 → ₹85 Cr over time. 
In simple terms, Torrent’s strong doctor network and larger field force can increase the reach and sales of JB’s cardiac and gastro brands after the merger, potentially creating revenue synergies of up to ₹85 Cr gradually.
</t>
        </r>
      </text>
    </comment>
    <comment ref="B16" authorId="0" shapeId="0" xr:uid="{58C86923-1E67-4F34-951E-B973CB41193E}">
      <text>
        <r>
          <rPr>
            <b/>
            <sz val="9"/>
            <color indexed="81"/>
            <rFont val="Tahoma"/>
            <family val="2"/>
          </rPr>
          <t>Anvay:</t>
        </r>
        <r>
          <rPr>
            <sz val="9"/>
            <color indexed="81"/>
            <rFont val="Tahoma"/>
            <family val="2"/>
          </rPr>
          <t xml:space="preserve">
International EM Scale synergy refers to growth opportunities in Emerging Markets (EM) such as Russia, South Africa, Eastern Europe, and Africa after the merger. JB Pharma already had a presence in markets like Russia (~₹120 Cr business) and South Africa (~₹90 Cr business), while Torrent also operates internationally. 
After the merger, Torrent can help JB grow faster through its existing distributors, regulatory relationships, and market presence, especially in markets like Russia and Africa. At the same time, JB’s CDMO platform and branded generics network can help Torrent expand into new international markets. 
The combined company also becomes more attractive to distributors because of its larger product portfolio, stronger supply capability, and broader market presence. Management noted that Torrent’s Russia business was around $20 million and that JB could add roughly 50% additional scale, strengthening the combined international presence.
</t>
        </r>
      </text>
    </comment>
    <comment ref="D16" authorId="0" shapeId="0" xr:uid="{C1733B8C-E81A-4058-A5FA-0746367059DE}">
      <text>
        <r>
          <rPr>
            <b/>
            <sz val="9"/>
            <color indexed="81"/>
            <rFont val="Tahoma"/>
            <family val="2"/>
          </rPr>
          <t xml:space="preserve">Anvay:
</t>
        </r>
        <r>
          <rPr>
            <sz val="9"/>
            <color indexed="81"/>
            <rFont val="Tahoma"/>
            <family val="2"/>
          </rPr>
          <t xml:space="preserve"> (₹15 → ₹30 → ₹40 → ₹45 Cr) show that international integration and overseas sales opportunities are expected to improve gradually over time. 
After the merger, Torrent and JB can use each other’s international networks to achieve faster growth in markets like Russia and Africa.
</t>
        </r>
      </text>
    </comment>
    <comment ref="B17" authorId="0" shapeId="0" xr:uid="{CF61F4FA-AAE2-4EC9-985B-F602D99FC27C}">
      <text>
        <r>
          <rPr>
            <b/>
            <sz val="9"/>
            <color indexed="81"/>
            <rFont val="Tahoma"/>
            <family val="2"/>
          </rPr>
          <t>Anvay:</t>
        </r>
        <r>
          <rPr>
            <sz val="9"/>
            <color indexed="81"/>
            <rFont val="Tahoma"/>
            <family val="2"/>
          </rPr>
          <t xml:space="preserve">
Ophthalmology &amp; Novartis Portfolio synergy refers to the growth opportunity from JB Pharma’s eye care brands acquired from Novartis, such as Ophthacare and Genteal. Ophthalmology is a fast growing therapy area in India with relatively lower competition and strong growth potential. After the merger, Torrent’s larger hospital and specialty doctor network can help promote these eye-care products to more doctors and hospitals. 
Earlier, JB’s smaller ophthalmology sales team had limited reach, but now Torrent’s broader specialty field force can also market these products, helping increase both product reach and revenue growth.
</t>
        </r>
      </text>
    </comment>
    <comment ref="D17" authorId="0" shapeId="0" xr:uid="{C0BD8127-3069-4B7E-A247-6329CCE8D156}">
      <text>
        <r>
          <rPr>
            <b/>
            <sz val="9"/>
            <color indexed="81"/>
            <rFont val="Tahoma"/>
            <family val="2"/>
          </rPr>
          <t>Anvay:</t>
        </r>
        <r>
          <rPr>
            <sz val="9"/>
            <color indexed="81"/>
            <rFont val="Tahoma"/>
            <family val="2"/>
          </rPr>
          <t xml:space="preserve">
Management highlighted that the ophthalmology and Asmarda portfolio synergies were not included in the official ₹400–450 Cr synergy guidance shared by Aman Mehta, meaning they could provide additional upside beyond management’s stated target. 
The model numbers (₹20 → ₹45 → ₹60 → ₹70 Cr) indicate that the ophthalmology business is expected to scale gradually over time as Torrent’s larger hospital and specialty network helps JB’s eye care brands reach more doctors and expand sales. 
The merger could create up to ₹70 Cr of additional revenue synergy from the ophthalmology portfolio over time.
</t>
        </r>
      </text>
    </comment>
    <comment ref="B18" authorId="0" shapeId="0" xr:uid="{56C59BC0-244F-485C-A422-0B77131CA7AD}">
      <text>
        <r>
          <rPr>
            <b/>
            <sz val="9"/>
            <color indexed="81"/>
            <rFont val="Tahoma"/>
            <family val="2"/>
          </rPr>
          <t>Anvay:</t>
        </r>
        <r>
          <rPr>
            <sz val="9"/>
            <color indexed="81"/>
            <rFont val="Tahoma"/>
            <family val="2"/>
          </rPr>
          <t xml:space="preserve">
CDMO Lozenges business refers to JB Pharma’s specialised business of manufacturing medicated lozenges for other pharma companies. CDMO stands for Contract Development and Manufacturing Organisation, meaning the company develops and manufactures medicines for other pharmaceutical firms rather than selling directly to consumers. 
JB’s medicated lozenges business is considered world class and operates in a high margin B2B segment because there are very few specialised lozenge manufacturers globally. 
After the merger, Torrent can use its global pharma relationships in markets like the US, Germany, and Brazil to bring new clients to JB’s lozenges facility, creating additional CDMO opportunities. Torrent may also manufacture some of its own specialty products at JB’s facility in the future, which could improve plant utilisation and efficiency.
</t>
        </r>
      </text>
    </comment>
    <comment ref="D18" authorId="0" shapeId="0" xr:uid="{969146F3-C723-4C54-A990-B9B3B8BD805C}">
      <text>
        <r>
          <rPr>
            <b/>
            <sz val="9"/>
            <color indexed="81"/>
            <rFont val="Tahoma"/>
            <family val="2"/>
          </rPr>
          <t>Anvay:</t>
        </r>
        <r>
          <rPr>
            <sz val="9"/>
            <color indexed="81"/>
            <rFont val="Tahoma"/>
            <family val="2"/>
          </rPr>
          <t xml:space="preserve">
The model numbers (₹10 → ₹20 → ₹30 → ₹35 Cr) show that new CDMO clients are expected to be added gradually over time, helping the lozenges business scale slowly. 
After the merger, Torrent’s global pharma relationships can help JB’s specialised lozenges CDMO business gain new clients, improve plant utilisation, and create higher revenue opportunities.
</t>
        </r>
      </text>
    </comment>
    <comment ref="B21" authorId="0" shapeId="0" xr:uid="{8A68AF9D-DE45-4F52-9D9F-6AC3C240FA53}">
      <text>
        <r>
          <rPr>
            <b/>
            <sz val="9"/>
            <color indexed="81"/>
            <rFont val="Tahoma"/>
            <family val="2"/>
          </rPr>
          <t>Anvay:</t>
        </r>
        <r>
          <rPr>
            <sz val="9"/>
            <color indexed="81"/>
            <rFont val="Tahoma"/>
            <family val="2"/>
          </rPr>
          <t xml:space="preserve">
Integration Costs are the one time expenses companies incur to successfully combine and integrate after a merger. These costs arise from activities like merging sales teams, combining IT systems, optimising manufacturing plants, restructuring operations, software migration, consultant fees, severance payments, training, and legal work. In simple terms, synergies are not free, companies must first spend money to achieve future savings and revenue benefits. 
</t>
        </r>
      </text>
    </comment>
    <comment ref="B23" authorId="0" shapeId="0" xr:uid="{825B1BFE-85FA-405D-874D-A1F8E2DFA15D}">
      <text>
        <r>
          <rPr>
            <b/>
            <sz val="9"/>
            <color indexed="81"/>
            <rFont val="Tahoma"/>
            <family val="2"/>
          </rPr>
          <t>Anvay:</t>
        </r>
        <r>
          <rPr>
            <sz val="9"/>
            <color indexed="81"/>
            <rFont val="Tahoma"/>
            <family val="2"/>
          </rPr>
          <t xml:space="preserve">
Redundancy &amp; Voluntary Retirement cost refers to the expenses incurred when duplicate employee roles are reduced after a merger. Since both companies may have overlapping teams, extra managers or duplicate Medical Representatives (MRs), some employees become redundant. 
In India, companies usually manage this through a Voluntary Retirement Scheme (VRS), where employees voluntarily leave the company in exchange for a compensation package paid by the employer.</t>
        </r>
      </text>
    </comment>
    <comment ref="C23" authorId="0" shapeId="0" xr:uid="{C04144FF-1422-4273-9CF6-431EF66F95B0}">
      <text>
        <r>
          <rPr>
            <b/>
            <sz val="9"/>
            <color indexed="81"/>
            <rFont val="Tahoma"/>
            <family val="2"/>
          </rPr>
          <t>Anvay:</t>
        </r>
        <r>
          <rPr>
            <sz val="9"/>
            <color indexed="81"/>
            <rFont val="Tahoma"/>
            <family val="2"/>
          </rPr>
          <t xml:space="preserve">
The costs decline gradually because most restructuring happens in the early years after the merger. FY27 shows the highest cost (₹80 Cr) since major restructuring, senior management exits, and early VRS packages are usually most expensive at the beginning. 
</t>
        </r>
      </text>
    </comment>
    <comment ref="D23" authorId="0" shapeId="0" xr:uid="{84A4BF13-4630-4EAB-BCC5-5BC374C61AD8}">
      <text>
        <r>
          <rPr>
            <b/>
            <sz val="9"/>
            <color indexed="81"/>
            <rFont val="Tahoma"/>
            <family val="2"/>
          </rPr>
          <t>Anvay:</t>
        </r>
        <r>
          <rPr>
            <sz val="9"/>
            <color indexed="81"/>
            <rFont val="Tahoma"/>
            <family val="2"/>
          </rPr>
          <t xml:space="preserve">
In FY28, restructuring of regional managers, zonal managers, and remaining Medical Representatives continues, so costs remain elevated at ₹60 Cr. </t>
        </r>
      </text>
    </comment>
    <comment ref="E23" authorId="0" shapeId="0" xr:uid="{B0163884-1D1F-4098-9FEA-F8EBE387476D}">
      <text>
        <r>
          <rPr>
            <b/>
            <sz val="9"/>
            <color indexed="81"/>
            <rFont val="Tahoma"/>
            <family val="2"/>
          </rPr>
          <t>Anvay:</t>
        </r>
        <r>
          <rPr>
            <sz val="9"/>
            <color indexed="81"/>
            <rFont val="Tahoma"/>
            <family val="2"/>
          </rPr>
          <t xml:space="preserve">
By FY29, only smaller residual expenses like final settlements, delayed exits, and dispute resolutions remain, reducing the cost to ₹20 Cr. </t>
        </r>
      </text>
    </comment>
    <comment ref="F23" authorId="0" shapeId="0" xr:uid="{B5DB288F-8E84-45B5-951C-1480B8CB9EC6}">
      <text>
        <r>
          <rPr>
            <b/>
            <sz val="9"/>
            <color indexed="81"/>
            <rFont val="Tahoma"/>
            <family val="2"/>
          </rPr>
          <t>Anvay:</t>
        </r>
        <r>
          <rPr>
            <sz val="9"/>
            <color indexed="81"/>
            <rFont val="Tahoma"/>
            <family val="2"/>
          </rPr>
          <t xml:space="preserve">
FY30 and FY31 show zero costs because the restructuring process is assumed to be fully completed, with no major layoffs or additional one time VRS expenses remaining.</t>
        </r>
      </text>
    </comment>
    <comment ref="B24" authorId="0" shapeId="0" xr:uid="{7AC9D1CA-205D-492A-BAC3-951BEACEB645}">
      <text>
        <r>
          <rPr>
            <b/>
            <sz val="9"/>
            <color indexed="81"/>
            <rFont val="Tahoma"/>
            <family val="2"/>
          </rPr>
          <t>Anvay:</t>
        </r>
        <r>
          <rPr>
            <sz val="9"/>
            <color indexed="81"/>
            <rFont val="Tahoma"/>
            <family val="2"/>
          </rPr>
          <t xml:space="preserve">
IT Systems Integration cost refers to the expenses involved in combining Torrent and JB Pharma’s separate technology systems after the merger. Both companies had different ERP, CRM, HR, finance and compliance systems, which need to be merged into a common platform. 
This process includes migrating financial, employee and customer data 
Integrating sales and doctor tracking systems
Combining regulatory and laboratory systems
Training employees to use the new setup. 
These activities create costs because the company must spend on external consultants, software licenses, IT specialists, testing, and migration support.
</t>
        </r>
      </text>
    </comment>
    <comment ref="C24" authorId="0" shapeId="0" xr:uid="{B356E459-AE4A-4B65-BE2D-1F31F268ED0B}">
      <text>
        <r>
          <rPr>
            <b/>
            <sz val="9"/>
            <color indexed="81"/>
            <rFont val="Tahoma"/>
            <family val="2"/>
          </rPr>
          <t>Anvay:</t>
        </r>
        <r>
          <rPr>
            <sz val="9"/>
            <color indexed="81"/>
            <rFont val="Tahoma"/>
            <family val="2"/>
          </rPr>
          <t xml:space="preserve">
FY27 has the highest IT integration cost because most of the major setup work happens in the first year, including system assessment, planning, consultant hiring, and initial data migration. </t>
        </r>
      </text>
    </comment>
    <comment ref="D24" authorId="0" shapeId="0" xr:uid="{88EB53DF-77F6-4575-8868-62E1B6AC7178}">
      <text>
        <r>
          <rPr>
            <b/>
            <sz val="9"/>
            <color indexed="81"/>
            <rFont val="Tahoma"/>
            <family val="2"/>
          </rPr>
          <t>Anvay:</t>
        </r>
        <r>
          <rPr>
            <sz val="9"/>
            <color indexed="81"/>
            <rFont val="Tahoma"/>
            <family val="2"/>
          </rPr>
          <t xml:space="preserve">
In FY28, costs continue for final migration, system testing, employee training, and troubleshooting. From FY29 onwards, there is  no major costs because the integration project is assumed to be completed, leaving only normal recurring IT operating expenses.
</t>
        </r>
      </text>
    </comment>
    <comment ref="B25" authorId="0" shapeId="0" xr:uid="{BA34E718-3B73-4B95-832D-D51BA921FDD6}">
      <text>
        <r>
          <rPr>
            <b/>
            <sz val="9"/>
            <color indexed="81"/>
            <rFont val="Tahoma"/>
            <family val="2"/>
          </rPr>
          <t>Anvay:</t>
        </r>
        <r>
          <rPr>
            <sz val="9"/>
            <color indexed="81"/>
            <rFont val="Tahoma"/>
            <family val="2"/>
          </rPr>
          <t xml:space="preserve">
Plant &amp; Process Harmonisation refers to standardising Torrent and JB Pharma’s manufacturing operations after the merger. This means both companies’ plants must follow the same quality systems, manufacturing procedures, and regulatory standards. The process includes aligning production methods, SOPs, and quality checks across plants
Obtaining regulatory approvals for shifting products between manufacturing facilities Conducting validation batches, stability studies and testing 
Making necessary plant modifications such as layout changes, equipment adjustments and process improvements.
</t>
        </r>
      </text>
    </comment>
    <comment ref="C25" authorId="0" shapeId="0" xr:uid="{A2C9C3A2-64BD-4777-92FE-B598BC1A093A}">
      <text>
        <r>
          <rPr>
            <b/>
            <sz val="9"/>
            <color indexed="81"/>
            <rFont val="Tahoma"/>
            <family val="2"/>
          </rPr>
          <t>Anvay:</t>
        </r>
        <r>
          <rPr>
            <sz val="9"/>
            <color indexed="81"/>
            <rFont val="Tahoma"/>
            <family val="2"/>
          </rPr>
          <t xml:space="preserve">
₹40 Cr Plant &amp; Process Harmonisation cost because most of the planning and setup work happens in the first year. 
This includes expenses for consultants, regulatory submissions, and validation/testing batches needed to begin aligning manufacturing processes and regulatory standards across plants. 
Its mainly one time integration cost, while larger long term plant investments are classified separately as CapEx. Although the actual plant transfer and harmonisation process may continue for 2–3 years, the major initiation and planning costs are usually incurred in Year 1 so that future manufacturing synergies are not delayed.
</t>
        </r>
      </text>
    </comment>
    <comment ref="D25" authorId="0" shapeId="0" xr:uid="{D6961DC0-62B8-44ED-AD05-0F7B6896BF4E}">
      <text>
        <r>
          <rPr>
            <b/>
            <sz val="9"/>
            <color indexed="81"/>
            <rFont val="Tahoma"/>
            <family val="2"/>
          </rPr>
          <t>Anvay:</t>
        </r>
        <r>
          <rPr>
            <sz val="9"/>
            <color indexed="81"/>
            <rFont val="Tahoma"/>
            <family val="2"/>
          </rPr>
          <t xml:space="preserve">
major integration setup work is assumed to be completed. After that, any ongoing manufacturing investments or plant improvements are treated as part of the company’s normal CapEx budget rather than one-time integration costs.</t>
        </r>
      </text>
    </comment>
    <comment ref="C30" authorId="0" shapeId="0" xr:uid="{33927C68-185F-474D-81A9-AF9BE5AB1580}">
      <text>
        <r>
          <rPr>
            <b/>
            <sz val="9"/>
            <color indexed="81"/>
            <rFont val="Tahoma"/>
            <family val="2"/>
          </rPr>
          <t>Anvay:</t>
        </r>
        <r>
          <rPr>
            <sz val="9"/>
            <color indexed="81"/>
            <rFont val="Tahoma"/>
            <family val="2"/>
          </rPr>
          <t xml:space="preserve">
The merger is temporarily increasing the company’s costs because of heavy spending on Restructuring,VRS,IT integration, Consultants, Plant harmonisation</t>
        </r>
      </text>
    </comment>
    <comment ref="C38" authorId="0" shapeId="0" xr:uid="{089CE449-320F-4312-A4C9-45CBD286CCA7}">
      <text>
        <r>
          <rPr>
            <b/>
            <sz val="9"/>
            <color indexed="81"/>
            <rFont val="Tahoma"/>
            <family val="2"/>
          </rPr>
          <t>Anvay:</t>
        </r>
        <r>
          <rPr>
            <sz val="9"/>
            <color indexed="81"/>
            <rFont val="Tahoma"/>
            <family val="2"/>
          </rPr>
          <t xml:space="preserve">
This represents the net cash flow generated only from the deal synergies, such as cost savings and revenue cross selling, in Year 5 after deducting taxes.
In the valuation, this acts as the final cash flow of the 5 year forecast period.</t>
        </r>
      </text>
    </comment>
    <comment ref="C39" authorId="0" shapeId="0" xr:uid="{9C662889-B8D0-48A4-AC1A-754E34A43119}">
      <text>
        <r>
          <rPr>
            <b/>
            <sz val="9"/>
            <color indexed="81"/>
            <rFont val="Tahoma"/>
            <family val="2"/>
          </rPr>
          <t>Anvay:</t>
        </r>
        <r>
          <rPr>
            <sz val="9"/>
            <color indexed="81"/>
            <rFont val="Tahoma"/>
            <family val="2"/>
          </rPr>
          <t xml:space="preserve">
This is the assumed EV/EBITDA multiple that the market may assign to JB Chemicals &amp; Pharmaceuticals in Year 5. I used an 18x multiple because it is a conservative assumption and matches the multiple used in the main DCF valuation, which is in line with the normal trading range of mid sized Indian pharma companies.
In the valuation, this multiple is important because it is used to calculate the long term or Terminal Value of the synergies beyond the 5 year forecast period.</t>
        </r>
      </text>
    </comment>
    <comment ref="C40" authorId="0" shapeId="0" xr:uid="{D07F743B-A350-4C20-B6C8-BA505630EF80}">
      <text>
        <r>
          <rPr>
            <b/>
            <sz val="9"/>
            <color indexed="81"/>
            <rFont val="Tahoma"/>
            <family val="2"/>
          </rPr>
          <t>Anvay:</t>
        </r>
        <r>
          <rPr>
            <sz val="9"/>
            <color indexed="81"/>
            <rFont val="Tahoma"/>
            <family val="2"/>
          </rPr>
          <t xml:space="preserve">
This represents the total estimated long term value of all synergies generated from Year 6 onward into perpetuity.
It is calculated by multiplying the Pre Tax FY31 Synergy of ₹533 Cr by the 18x Exit Multiple. The pre tax number is used because EV/EBITDA multiples are always applied before taxes.
In the valuation, this helps capture the large long term value created by the deal and its synergies, instead of looking only at the first 5 years of projections.</t>
        </r>
      </text>
    </comment>
    <comment ref="C41" authorId="0" shapeId="0" xr:uid="{1115C421-3AAA-4838-8238-2677D775E8E2}">
      <text>
        <r>
          <rPr>
            <b/>
            <sz val="9"/>
            <color indexed="81"/>
            <rFont val="Tahoma"/>
            <family val="2"/>
          </rPr>
          <t>Anvay:</t>
        </r>
        <r>
          <rPr>
            <sz val="9"/>
            <color indexed="81"/>
            <rFont val="Tahoma"/>
            <family val="2"/>
          </rPr>
          <t xml:space="preserve">
This is the Terminal Synergy Value of ₹9,594 Cr converted into today’s value.
It was calculated by discounting the future value back to the present using the 10.74% WACC and the full Year 5 discount factor.
In the valuation, this shows how much the long term synergies are worth to Torrent Pharmaceuticals in today’s terms, since these benefits are expected to come in the future after the projection period ends.
</t>
        </r>
      </text>
    </comment>
    <comment ref="C42" authorId="0" shapeId="0" xr:uid="{44521287-E05C-4050-A30E-0075F23D9CD6}">
      <text>
        <r>
          <rPr>
            <b/>
            <sz val="9"/>
            <color indexed="81"/>
            <rFont val="Tahoma"/>
            <family val="2"/>
          </rPr>
          <t>Anvay:</t>
        </r>
        <r>
          <rPr>
            <sz val="9"/>
            <color indexed="81"/>
            <rFont val="Tahoma"/>
            <family val="2"/>
          </rPr>
          <t xml:space="preserve">
This is the final “value creation” from the deal. It represents the total present day value created by combining Torrent Pharmaceuticals and JB Chemicals &amp; Pharmaceuticals, over and above JB’s standalone value.
In the valuation, this shows the actual wealth created for Torrent shareholders. Since Torrent acquired JB at a price below its intrinsic value, the estimated ~₹6,500 Cr synergy value becomes additional upside for shareholders and helps justify the large scale and effort involved in integrating both companies.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C8" authorId="0" shapeId="0" xr:uid="{AA846CF4-2CD1-47A6-94F5-D01489E46A49}">
      <text>
        <r>
          <rPr>
            <b/>
            <sz val="9"/>
            <color indexed="81"/>
            <rFont val="Tahoma"/>
            <family val="2"/>
          </rPr>
          <t>Anvay:</t>
        </r>
        <r>
          <rPr>
            <sz val="9"/>
            <color indexed="81"/>
            <rFont val="Tahoma"/>
            <family val="2"/>
          </rPr>
          <t xml:space="preserve">
₹11,913 Cr — What Does This Mean?
This is the total amount Torrent paid to KKR to acquire JB Pharma’s 46.39% controlling stake.
What does that mean?
It was the biggest payment made in the entire acquisition deal.
Through this payment, Torrent acquired control of JB Pharma from KKR.
Why is this important?
Because this was the largest cash outflow in the transaction.
The total deal value was approximately ₹12,926 Cr, out of which:
* ₹11,913 Cr was used only for purchasing KKR’s stake.
* The remaining amount was related to the open offer and other acquisition-related components.
Additional Note
The deal announcement also mentioned a cash consideration of around ₹11,917 Cr.
The small difference is only because of rounding in the share count calculatio</t>
        </r>
      </text>
    </comment>
    <comment ref="C10" authorId="0" shapeId="0" xr:uid="{5149C210-B005-4CDC-905A-521497EC2C75}">
      <text>
        <r>
          <rPr>
            <b/>
            <sz val="9"/>
            <color indexed="81"/>
            <rFont val="Tahoma"/>
            <family val="2"/>
          </rPr>
          <t>Anvay:</t>
        </r>
        <r>
          <rPr>
            <sz val="9"/>
            <color indexed="81"/>
            <rFont val="Tahoma"/>
            <family val="2"/>
          </rPr>
          <t xml:space="preserve">
₹619 Cr represents the total amount paid by Torrent to JB Pharma employees for purchasing their ESOP and employee-held shares. In simple terms, the employees sold their shares to Torrent, and Torrent paid cash in return.
</t>
        </r>
      </text>
    </comment>
    <comment ref="C13" authorId="0" shapeId="0" xr:uid="{B8BE6CDF-19DC-4ECE-85B0-E8946136209B}">
      <text>
        <r>
          <rPr>
            <b/>
            <sz val="9"/>
            <color indexed="81"/>
            <rFont val="Tahoma"/>
            <family val="2"/>
          </rPr>
          <t>Anvay:</t>
        </r>
        <r>
          <rPr>
            <sz val="9"/>
            <color indexed="81"/>
            <rFont val="Tahoma"/>
            <family val="2"/>
          </rPr>
          <t xml:space="preserve">
₹395 Cr represents the estimated amount Torrent paid to public shareholders who tendered their shares in the open offer. Although the open offer allowed Torrent to acquire up to 26% stake, the model assumes only 1.5% acceptance because actual participation was almost negligible. If the full 26% had been accepted, Torrent would have needed to pay around ₹6,843 Cr. Therefore, the model realistically assumes that very few public shareholders tendered their shares in the open offer.
</t>
        </r>
      </text>
    </comment>
    <comment ref="C15" authorId="0" shapeId="0" xr:uid="{096D9D5C-2FC2-410E-8B33-A2129608AC36}">
      <text>
        <r>
          <rPr>
            <b/>
            <sz val="9"/>
            <color indexed="81"/>
            <rFont val="Tahoma"/>
            <family val="2"/>
          </rPr>
          <t>Anvay:</t>
        </r>
        <r>
          <rPr>
            <sz val="9"/>
            <color indexed="81"/>
            <rFont val="Tahoma"/>
            <family val="2"/>
          </rPr>
          <t xml:space="preserve">
₹12,926 Cr represents the total cash outflow incurred by Torrent to complete the JB Pharma acquisition. This amount includes payments made to KKR for its stake, to ESOP holders for employee shares, and to public shareholders through the open offer. Since this was the actual acquisition cost that Torrent needed to fund, the company launched an NCD/bond programme of around ₹12,500 Cr to finance most of the deal, while the remaining amount was paid from its own cash reserves. In simple terms, ₹12,926 Cr was the total real cash spent by Torrent for the entire acquisition.
</t>
        </r>
      </text>
    </comment>
    <comment ref="C16" authorId="0" shapeId="0" xr:uid="{23CD21F5-6476-4DE2-BEC1-B47AFEF8CD9A}">
      <text>
        <r>
          <rPr>
            <b/>
            <sz val="9"/>
            <color indexed="81"/>
            <rFont val="Tahoma"/>
            <family val="2"/>
          </rPr>
          <t>Anvay:</t>
        </r>
        <r>
          <rPr>
            <sz val="9"/>
            <color indexed="81"/>
            <rFont val="Tahoma"/>
            <family val="2"/>
          </rPr>
          <t xml:space="preserve">
(-) ₹129 Cr is deducted because when Torrent acquired JB Pharma, it also indirectly acquired the cash already available on JB’s balance sheet. As of FY25, JB had around ₹129 Cr in cash and cash equivalents. So, although Torrent paid cash to acquire the company, it also gained access to this existing cash after the acquisition. Therefore, this amount is treated as acquired cash and reduced from the effective acquisition cost. The figure comes from JB Pharma’s FY25 balance sheet cash &amp; cash equivalents data. (Screener)</t>
        </r>
      </text>
    </comment>
    <comment ref="C17" authorId="0" shapeId="0" xr:uid="{5238BBE7-55CC-4F80-B230-40FB5609DC51}">
      <text>
        <r>
          <rPr>
            <b/>
            <sz val="9"/>
            <color indexed="81"/>
            <rFont val="Tahoma"/>
            <family val="2"/>
          </rPr>
          <t>Anvay:</t>
        </r>
        <r>
          <rPr>
            <sz val="9"/>
            <color indexed="81"/>
            <rFont val="Tahoma"/>
            <family val="2"/>
          </rPr>
          <t xml:space="preserve">
Screenr.in</t>
        </r>
      </text>
    </comment>
    <comment ref="C19" authorId="0" shapeId="0" xr:uid="{A9D144EB-9E97-4A91-BDCF-FF0D28C56F4A}">
      <text>
        <r>
          <rPr>
            <b/>
            <sz val="9"/>
            <color indexed="81"/>
            <rFont val="Tahoma"/>
            <family val="2"/>
          </rPr>
          <t>Anvay:</t>
        </r>
        <r>
          <rPr>
            <sz val="9"/>
            <color indexed="81"/>
            <rFont val="Tahoma"/>
            <family val="2"/>
          </rPr>
          <t xml:space="preserve">
₹12,797 Cr represents the effective purchase price of the JB Pharma acquisition after adjusting for the cash already available on JB’s balance sheet. Although Torrent paid a higher total amount for the deal, it also gained access to JB’s existing cash of around ₹129 Cr after the acquisition. Therefore, after subtracting this acquired cash from the total deal value, the effective acquisition cost came down to ₹12,797 Cr.
</t>
        </r>
      </text>
    </comment>
    <comment ref="C20" authorId="0" shapeId="0" xr:uid="{5CF5437A-C242-43F7-B5A9-C1FD539BAA4C}">
      <text>
        <r>
          <rPr>
            <b/>
            <sz val="9"/>
            <color indexed="81"/>
            <rFont val="Tahoma"/>
            <family val="2"/>
          </rPr>
          <t>Anvay:</t>
        </r>
        <r>
          <rPr>
            <sz val="9"/>
            <color indexed="81"/>
            <rFont val="Tahoma"/>
            <family val="2"/>
          </rPr>
          <t xml:space="preserve">
Enterprise Value (EV) represents the real value of a company’s operating business after adjusting for cash and debt. It shows what the business is actually worth independent of its capital structure. The basic formula is: EV = Equity Value + Net Debt. Usually, EV is higher than equity value because most companies have debt. However, in JB Pharma’s case, the company was largely debt-free and also had excess cash on its balance sheet. As a result, Torrent effectively received additional net cash along with the business, causing the EV to be slightly lower than the total equity purchase value.
</t>
        </r>
      </text>
    </comment>
    <comment ref="C21" authorId="0" shapeId="0" xr:uid="{FFB95CA5-1440-4D23-AAFB-0FBEC79EACC3}">
      <text>
        <r>
          <rPr>
            <b/>
            <sz val="9"/>
            <color indexed="81"/>
            <rFont val="Tahoma"/>
            <family val="2"/>
          </rPr>
          <t>Anvay:</t>
        </r>
        <r>
          <rPr>
            <sz val="9"/>
            <color indexed="81"/>
            <rFont val="Tahoma"/>
            <family val="2"/>
          </rPr>
          <t xml:space="preserve">
Represents the EV/EBITDA multiple based only on Torrent’s acquired ~50% stake in JB Pharma. This is a partial-stake valuation metric and not the headline deal multiple typically used in M&amp;A analysis.</t>
        </r>
      </text>
    </comment>
    <comment ref="C22" authorId="0" shapeId="0" xr:uid="{D4075338-61A0-4B9D-BE49-E0472C65DA7F}">
      <text>
        <r>
          <rPr>
            <b/>
            <sz val="9"/>
            <color indexed="81"/>
            <rFont val="Tahoma"/>
            <family val="2"/>
          </rPr>
          <t>Anvay:</t>
        </r>
        <r>
          <rPr>
            <sz val="9"/>
            <color indexed="81"/>
            <rFont val="Tahoma"/>
            <family val="2"/>
          </rPr>
          <t xml:space="preserve">
Represents the implied EV/EBITDA multiple for 100% of JB Pharma based on the SPA share price and fully diluted share count. This is the standard headline deal valuation metric used in M&amp;A transactions.</t>
        </r>
      </text>
    </comment>
    <comment ref="C23" authorId="0" shapeId="0" xr:uid="{7049B816-B433-4444-9270-56014EE5C352}">
      <text>
        <r>
          <rPr>
            <b/>
            <sz val="9"/>
            <color indexed="81"/>
            <rFont val="Tahoma"/>
            <family val="2"/>
          </rPr>
          <t>Anvay:</t>
        </r>
        <r>
          <rPr>
            <sz val="9"/>
            <color indexed="81"/>
            <rFont val="Tahoma"/>
            <family val="2"/>
          </rPr>
          <t xml:space="preserve">
Represents the forward EV/EBITDA multiple based on FY26 estimated EBITDA. This aligns with management’s commentary of approximately ~22x FY26E valuation during the earnings call.</t>
        </r>
      </text>
    </comment>
    <comment ref="C35" authorId="0" shapeId="0" xr:uid="{C817D138-EA10-4176-B12B-24735AAB0BB6}">
      <text>
        <r>
          <rPr>
            <b/>
            <sz val="9"/>
            <color indexed="81"/>
            <rFont val="Tahoma"/>
            <family val="2"/>
          </rPr>
          <t>Anvay:</t>
        </r>
        <r>
          <rPr>
            <sz val="9"/>
            <color indexed="81"/>
            <rFont val="Tahoma"/>
            <family val="2"/>
          </rPr>
          <t xml:space="preserve">
₹25,680 Cr represents JB Pharma’s 100% implied equity value based on the deal price of ₹1,600 per share, calculated as 16.05 Cr fully diluted shares × ₹1,600. Although Torrent actually paid around ₹12,926 Cr for a ~50% controlling stake, goodwill and PPA calculations must use the full company value under Ind AS 103 because Torrent will consolidate 100% of JB’s assets and liabilities after gaining control. Therefore, goodwill is calculated using the full implied company valuation, not just the actual cash paid or the ₹12,797 Cr net cash outflow figure, which is mainly relevant for Sources &amp; Uses analysis.
</t>
        </r>
      </text>
    </comment>
    <comment ref="C38" authorId="0" shapeId="0" xr:uid="{52501B05-62D8-4547-B16D-21D6DFFBBADC}">
      <text>
        <r>
          <rPr>
            <b/>
            <sz val="9"/>
            <color indexed="81"/>
            <rFont val="Tahoma"/>
            <family val="2"/>
          </rPr>
          <t>Anvay:</t>
        </r>
        <r>
          <rPr>
            <sz val="9"/>
            <color indexed="81"/>
            <rFont val="Tahoma"/>
            <family val="2"/>
          </rPr>
          <t xml:space="preserve">
Represents the fair value of JB Pharma’s identifiable net assets. In simple terms, it reflects the realistically adjusted value of JB’s assets, brands and business franchises. Although JB’s accounting book value was only around ₹3,434 Cr, the valuation increased after considering the higher market value of strong brands, intangibles, and business franchises, resulting in a fair value of ₹5,934 Cr.
</t>
        </r>
      </text>
    </comment>
    <comment ref="C39" authorId="0" shapeId="0" xr:uid="{22556DF9-1880-45E6-83E0-B2AE16629322}">
      <text>
        <r>
          <rPr>
            <b/>
            <sz val="9"/>
            <color indexed="81"/>
            <rFont val="Tahoma"/>
            <family val="2"/>
          </rPr>
          <t>Anvay:</t>
        </r>
        <r>
          <rPr>
            <sz val="9"/>
            <color indexed="81"/>
            <rFont val="Tahoma"/>
            <family val="2"/>
          </rPr>
          <t xml:space="preserve">
₹19,746 Cr Goodwill represents the extra premium Torrent paid over the fair value of JB Pharma’s identifiable net assets. Torrent’s implied purchase value for JB was ₹25,680 Cr, while the fair value of identifiable net assets was only ₹5,934 Cr. The difference, ₹19,746 Cr, became goodwill. 
In simple terms, goodwill represents valuable intangible factors that cannot be separately identified on the balance sheet, such as brand reputation, customer relationships, market leadership, distribution network, future growth potential, strategic benefits to Torrent, and management quality. The goodwill amount became very large mainly because Torrent acquired JB at a premium valuation for its future growth and strategic importance.</t>
        </r>
      </text>
    </comment>
    <comment ref="C40" authorId="0" shapeId="0" xr:uid="{4979468E-0B28-42F5-B84D-0AC0942F1EA1}">
      <text>
        <r>
          <rPr>
            <b/>
            <sz val="9"/>
            <color indexed="81"/>
            <rFont val="Tahoma"/>
            <family val="2"/>
          </rPr>
          <t>Anvay:</t>
        </r>
        <r>
          <rPr>
            <sz val="9"/>
            <color indexed="81"/>
            <rFont val="Tahoma"/>
            <family val="2"/>
          </rPr>
          <t xml:space="preserve">
Torrent will not expense the entire goodwill created from the deal at once. Instead, it will gradually write it off over 15 years.Torrent will gradually expense the goodwill over 15 years. As a result reported profits will appear lower, But there will be no actual cash outflow</t>
        </r>
      </text>
    </comment>
    <comment ref="C41" authorId="0" shapeId="0" xr:uid="{7A489F61-268E-403E-90A0-69E8B4ABCF64}">
      <text>
        <r>
          <rPr>
            <b/>
            <sz val="9"/>
            <color indexed="81"/>
            <rFont val="Tahoma"/>
            <family val="2"/>
          </rPr>
          <t>Anvay:</t>
        </r>
        <r>
          <rPr>
            <sz val="9"/>
            <color indexed="81"/>
            <rFont val="Tahoma"/>
            <family val="2"/>
          </rPr>
          <t xml:space="preserve">
₹1,316 Cr of amortisation expense will be recorded in the P&amp;L every year.</t>
        </r>
      </text>
    </comment>
    <comment ref="B44" authorId="0" shapeId="0" xr:uid="{F54D5E43-D9D9-484D-BE43-21A490A45F2B}">
      <text>
        <r>
          <rPr>
            <b/>
            <sz val="9"/>
            <color indexed="81"/>
            <rFont val="Tahoma"/>
            <family val="2"/>
          </rPr>
          <t>Anvay:</t>
        </r>
        <r>
          <rPr>
            <sz val="9"/>
            <color indexed="81"/>
            <rFont val="Tahoma"/>
            <family val="2"/>
          </rPr>
          <t xml:space="preserve">
This section calculates exactly how many new Torrent shares need to be created to complete and what those shares are worth.</t>
        </r>
      </text>
    </comment>
    <comment ref="C45" authorId="0" shapeId="0" xr:uid="{2CFD115C-1FC9-4CBC-AFB1-123AD8488E84}">
      <text>
        <r>
          <rPr>
            <b/>
            <sz val="9"/>
            <color indexed="81"/>
            <rFont val="Tahoma"/>
            <family val="2"/>
          </rPr>
          <t>Anvay:</t>
        </r>
        <r>
          <rPr>
            <sz val="9"/>
            <color indexed="81"/>
            <rFont val="Tahoma"/>
            <family val="2"/>
          </rPr>
          <t xml:space="preserve">
33.84 Cr shares represent Torrent Pharmaceuticals’ existing total shares outstanding before the merger. In simple terms, these are the shares already present in the market and currently held by existing Torrent shareholders prior to the JB Pharma merger.
</t>
        </r>
      </text>
    </comment>
    <comment ref="C47" authorId="0" shapeId="0" xr:uid="{76F77EC0-0949-4497-9643-4BE48477B80A}">
      <text>
        <r>
          <rPr>
            <b/>
            <sz val="9"/>
            <color indexed="81"/>
            <rFont val="Tahoma"/>
            <family val="2"/>
          </rPr>
          <t>Anvay:</t>
        </r>
        <r>
          <rPr>
            <sz val="9"/>
            <color indexed="81"/>
            <rFont val="Tahoma"/>
            <family val="2"/>
          </rPr>
          <t xml:space="preserve">
50.30% represents Torrent’s total ownership stake in JB Pharma after completing all acquisitions, including shares purchased from KKR, ESOP holders, and a small portion acquired through the open offer. 
This means Torrent ended up owning 50.30% of JB, while the remaining 49.70% continued to be held by public and minority shareholders. During the merger, this remaining 49.70% stake is the portion that will be swapped, where minority shareholders will receive Torrent shares in exchange for their JB shares.
</t>
        </r>
      </text>
    </comment>
    <comment ref="C48" authorId="0" shapeId="0" xr:uid="{67CDD10A-C2B1-4B4A-A49A-4889B2F7F4D6}">
      <text>
        <r>
          <rPr>
            <b/>
            <sz val="9"/>
            <color indexed="81"/>
            <rFont val="Tahoma"/>
            <family val="2"/>
          </rPr>
          <t>Anvay:</t>
        </r>
        <r>
          <rPr>
            <sz val="9"/>
            <color indexed="81"/>
            <rFont val="Tahoma"/>
            <family val="2"/>
          </rPr>
          <t xml:space="preserve">
7.98 Cr shares represent the JB Pharma shares that were not owned by Torrent after the acquisition. These remaining shares were still held by public shareholders, mutual funds, FIIs, and retail investors. During the merger, these minority held JB shares will be cancelled and exchanged for newly issued Torrent shares, which is why they are called the “minority shares” involved in the share swap process.
</t>
        </r>
      </text>
    </comment>
    <comment ref="C50" authorId="0" shapeId="0" xr:uid="{83F0B030-B96F-4779-83B3-C4E5ABCA1693}">
      <text>
        <r>
          <rPr>
            <b/>
            <sz val="9"/>
            <color indexed="81"/>
            <rFont val="Tahoma"/>
            <family val="2"/>
          </rPr>
          <t>Anvay:</t>
        </r>
        <r>
          <rPr>
            <sz val="9"/>
            <color indexed="81"/>
            <rFont val="Tahoma"/>
            <family val="2"/>
          </rPr>
          <t xml:space="preserve">
4.07 Cr new Torrent shares represent the additional shares Torrent will issue to complete the merger. These newly created shares will be given to JB Pharma’s public and minority shareholders in exchange for their JB shares. Since new shares are being issued, the ownership percentage of existing Torrent shareholders will reduce slightly, means dilution.
</t>
        </r>
      </text>
    </comment>
    <comment ref="C51" authorId="0" shapeId="0" xr:uid="{D5BCC4D9-42FB-484E-AD23-BF3B83FD547A}">
      <text>
        <r>
          <rPr>
            <b/>
            <sz val="9"/>
            <color indexed="81"/>
            <rFont val="Tahoma"/>
            <family val="2"/>
          </rPr>
          <t>Anvay:</t>
        </r>
        <r>
          <rPr>
            <sz val="9"/>
            <color indexed="81"/>
            <rFont val="Tahoma"/>
            <family val="2"/>
          </rPr>
          <t xml:space="preserve">
37.91 Cr represents Torrent Pharmaceuticals’ total shares outstanding after the merger. It includes both the existing Torrent shares and the 4.07 Cr new shares issued to JB Pharma’s minority shareholders as part of the merger. This means Torrent’s total share count increases by around 12%. As a result, the combined company’s profits will also need to grow by at least 12% just to maintain the same EPS level. If profits do not increase enough, EPS dilution will occur.
</t>
        </r>
      </text>
    </comment>
    <comment ref="C53" authorId="0" shapeId="0" xr:uid="{9FEE63D8-6110-4F89-B260-0977FBFF1EAC}">
      <text>
        <r>
          <rPr>
            <b/>
            <sz val="9"/>
            <color indexed="81"/>
            <rFont val="Tahoma"/>
            <family val="2"/>
          </rPr>
          <t>Anvay:</t>
        </r>
        <r>
          <rPr>
            <sz val="9"/>
            <color indexed="81"/>
            <rFont val="Tahoma"/>
            <family val="2"/>
          </rPr>
          <t xml:space="preserve">
₹13,018 Cr represents the total value of the new Torrent shares that will be issued to JB Pharma’s public and minority shareholders during the merger. In simple terms, it shows the value of shares Torrent is giving in exchange for the minority-held JB shares. This is not a cash payment, meaning ₹13,018 Cr did not go out from Torrent’s bank account. Instead, Torrent will issue new shares and allot them to JB shareholders. The value is slightly higher because the swap ratio includes a small premium, giving JB minority shareholders somewhat extra value through Torrent shares.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C39" authorId="0" shapeId="0" xr:uid="{7B697723-4AD9-44DB-B64C-9B5B478FC89B}">
      <text>
        <r>
          <rPr>
            <b/>
            <sz val="9"/>
            <color indexed="81"/>
            <rFont val="Tahoma"/>
            <family val="2"/>
          </rPr>
          <t>Anvay:</t>
        </r>
        <r>
          <rPr>
            <sz val="9"/>
            <color indexed="81"/>
            <rFont val="Tahoma"/>
            <family val="2"/>
          </rPr>
          <t xml:space="preserve">
This shows the biggest risk in the entire deal. Before the acquisition, Torrent Pharmaceuticals had a very low and safe debt level of around 0.6x. But after the deal, the company’s leverage increases sharply to around 3.1x, meaning Torrent is taking on a large amount of debt. This is the main reason why the deal becomes EPS dilutive in the short term. It also shows why achieving the expected ₹400 to 450 Cr cost synergies is extremely important, because those savings will help Torrent reduce its debt faster. In simple terms, this table explains the real business risk behind the deal, not just the calculations.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C6" authorId="0" shapeId="0" xr:uid="{A69E15B1-3B2E-4EA7-B365-7CD13C9A716C}">
      <text>
        <r>
          <rPr>
            <b/>
            <sz val="9"/>
            <color indexed="81"/>
            <rFont val="Tahoma"/>
            <family val="2"/>
          </rPr>
          <t>Anvay:</t>
        </r>
        <r>
          <rPr>
            <sz val="9"/>
            <color indexed="81"/>
            <rFont val="Tahoma"/>
            <family val="2"/>
          </rPr>
          <t xml:space="preserve">
₹2,483 Cr shown at the top of the bridge is different from the ₹1,717 Cr PAT in the standalone model. This was done intentionally to avoid double counting the NCD interest expense.
In the main 3 statement model, I already included the ₹12,500 Cr NCD debt and its related interest cost inside Torrent’s financials. Because of this, the standalone PAT of ₹1,717 Cr already reflects the impact of deal financing.
However, in the Accretion/Dilution bridge, the purpose is to separately show each major deal impact, especially the negative effect of the NCD interest expense. So, if I directly started the bridge with ₹1,717 Cr PAT and again subtracted the NCD interest line, the financing cost would get counted twice, which would incorrectly reduce EPS.
To avoid this, I first adjusted the starting PAT back to a “Pre Deal Operating PAT” of ₹2,483 Cr. This allows the bridge to clearly show the financing impact separately while still keeping the final combined PAT and EPS mathematically correct.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C33" authorId="0" shapeId="0" xr:uid="{060647DE-31D5-4852-9274-D81C0F202D4F}">
      <text>
        <r>
          <rPr>
            <b/>
            <sz val="9"/>
            <color indexed="81"/>
            <rFont val="Tahoma"/>
            <family val="2"/>
          </rPr>
          <t>Anvay:</t>
        </r>
        <r>
          <rPr>
            <sz val="9"/>
            <color indexed="81"/>
            <rFont val="Tahoma"/>
            <family val="2"/>
          </rPr>
          <t xml:space="preserve">
This is the assumed EV/EBITDA multiple that the market may assign to JB Chemicals &amp; Pharmaceuticals in Year 5</t>
        </r>
      </text>
    </comment>
    <comment ref="C41" authorId="0" shapeId="0" xr:uid="{98964F04-19BE-4310-AF0D-C5D6572A71D6}">
      <text>
        <r>
          <rPr>
            <b/>
            <sz val="9"/>
            <color indexed="81"/>
            <rFont val="Tahoma"/>
            <family val="2"/>
          </rPr>
          <t>Anvay:</t>
        </r>
        <r>
          <rPr>
            <sz val="9"/>
            <color indexed="81"/>
            <rFont val="Tahoma"/>
            <family val="2"/>
          </rPr>
          <t xml:space="preserve">
In most acquisitions, buyers pay a premium above the company’s standalone intrinsic value, so management must generate enough synergies to recover that excess price. However, in this Torrent JB Pharma deal, the model shows a rare situation where JB’s standalone intrinsic value (~₹27,059 Cr) is higher than the implied deal value (~₹25,689 Cr). 
This means Torrent is effectively acquiring JB at a discount to its estimated intrinsic value, resulting in near zero or negative implied synergy. In simple terms, Torrent does not strictly need synergies just to justify the acquisition price. Therefore, the projected ~₹6,225 Cr synergies in the model could become additional value creation for Torrent shareholders rather than merely compensating for overpayment.</t>
        </r>
      </text>
    </comment>
    <comment ref="J49" authorId="0" shapeId="0" xr:uid="{C0AAD2CB-E03E-498A-A867-B41E7D501208}">
      <text>
        <r>
          <rPr>
            <b/>
            <sz val="9"/>
            <color indexed="81"/>
            <rFont val="Tahoma"/>
            <family val="2"/>
          </rPr>
          <t>Anvay:</t>
        </r>
        <r>
          <rPr>
            <sz val="9"/>
            <color indexed="81"/>
            <rFont val="Tahoma"/>
            <family val="2"/>
          </rPr>
          <t xml:space="preserve">
For to make Sensitive Table (Don’t touch this)</t>
        </r>
      </text>
    </comment>
    <comment ref="C78" authorId="0" shapeId="0" xr:uid="{895F73F0-8BBA-4F48-B22A-3461049A724D}">
      <text>
        <r>
          <rPr>
            <b/>
            <sz val="9"/>
            <color indexed="81"/>
            <rFont val="Tahoma"/>
            <family val="2"/>
          </rPr>
          <t>Anvay:</t>
        </r>
        <r>
          <rPr>
            <sz val="9"/>
            <color indexed="81"/>
            <rFont val="Tahoma"/>
            <family val="2"/>
          </rPr>
          <t xml:space="preserve">
The Implied Share Price represents the theoretical value of JB Chemicals per share if the company were valued at the same EV/EBITDA multiple as its listed peer companies.
In this deal, the implied value is between ₹1,7600 to 1900 per share is higher than Torrent’s actual acquisition price of ₹1,600 to 1,639 per share. This suggests that Torrent is acquiring JB Pharma at roughly an 8 to 10% discount to prevailing public market valuations, even before considering any merger synergies, which strengthens the M&amp;A investment thesis.</t>
        </r>
      </text>
    </comment>
    <comment ref="E101" authorId="0" shapeId="0" xr:uid="{F65018AD-941E-4BE6-8CB6-676DF5574171}">
      <text>
        <r>
          <rPr>
            <b/>
            <sz val="9"/>
            <color indexed="81"/>
            <rFont val="Tahoma"/>
            <family val="2"/>
          </rPr>
          <t>Anvay:</t>
        </r>
        <r>
          <rPr>
            <sz val="9"/>
            <color indexed="81"/>
            <rFont val="Tahoma"/>
            <family val="2"/>
          </rPr>
          <t xml:space="preserve">
I have taken a conservative approach after looking at the Deal Mechanism sheet, the deal metrics and the management guidance calculations.</t>
        </r>
      </text>
    </comment>
    <comment ref="F101" authorId="0" shapeId="0" xr:uid="{E9AC80B2-A58F-4073-8D36-0709C11646BF}">
      <text>
        <r>
          <rPr>
            <b/>
            <sz val="9"/>
            <color indexed="81"/>
            <rFont val="Tahoma"/>
            <family val="2"/>
          </rPr>
          <t>Anvay:</t>
        </r>
        <r>
          <rPr>
            <sz val="9"/>
            <color indexed="81"/>
            <rFont val="Tahoma"/>
            <family val="2"/>
          </rPr>
          <t xml:space="preserve">
Torrent paid around ₹1,600 per share to acquire JB Pharma, while JB’s market price before the deal announcement was trading near ₹1,801 per share. This means Torrent acquired the stake at a discount to JB’s prevailing market price, which is unusual in M&amp;A deals where buyers typically pay a premium above market value.
</t>
        </r>
      </text>
    </comment>
    <comment ref="C105" authorId="0" shapeId="0" xr:uid="{723DFBA9-87D4-46AB-9E88-BE3652AA7DA1}">
      <text>
        <r>
          <rPr>
            <b/>
            <sz val="9"/>
            <color indexed="81"/>
            <rFont val="Tahoma"/>
            <family val="2"/>
          </rPr>
          <t>Anvay:</t>
        </r>
        <r>
          <rPr>
            <sz val="9"/>
            <color indexed="81"/>
            <rFont val="Tahoma"/>
            <family val="2"/>
          </rPr>
          <t xml:space="preserve">
In Precedent Transaction Analysis, the EV/EBITDA multiples come from past acquisition deals where buyers had already paid a control premium to acquire the company. So, adding another control premium again would mean counting the premium twice and would make the valuation too high. Therefore, the correct approach is to directly apply the precedent transaction multiple to the target company’s EBITDA without adding any extra premium.
</t>
        </r>
      </text>
    </comment>
    <comment ref="J115" authorId="0" shapeId="0" xr:uid="{1722E441-BCFF-4224-A813-D774C332C7DA}">
      <text>
        <r>
          <rPr>
            <b/>
            <sz val="9"/>
            <color indexed="81"/>
            <rFont val="Tahoma"/>
            <family val="2"/>
          </rPr>
          <t>Anvay:</t>
        </r>
        <r>
          <rPr>
            <sz val="9"/>
            <color indexed="81"/>
            <rFont val="Tahoma"/>
            <family val="2"/>
          </rPr>
          <t xml:space="preserve">
For to make Sensitive Table (Don’t touch this)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J9" authorId="0" shapeId="0" xr:uid="{F0DB759E-AAF4-4CD3-AC07-A4B24EEBAFD0}">
      <text>
        <r>
          <rPr>
            <b/>
            <sz val="9"/>
            <color indexed="81"/>
            <rFont val="Tahoma"/>
            <family val="2"/>
          </rPr>
          <t>Anvay:</t>
        </r>
        <r>
          <rPr>
            <sz val="9"/>
            <color indexed="81"/>
            <rFont val="Tahoma"/>
            <family val="2"/>
          </rPr>
          <t xml:space="preserve">
Torrent raised around ₹12,500 Cr through NCDs at an average interest cost of about 7.6%, which creates an annual interest expense of roughly ₹950 Cr. This additional financing cost significantly reduces the combined company’s net profit (PAT), especially in the initial years after the acquisition.</t>
        </r>
      </text>
    </comment>
    <comment ref="H18" authorId="0" shapeId="0" xr:uid="{AA0326D8-1C5B-43B0-915E-763081CCBDC4}">
      <text>
        <r>
          <rPr>
            <b/>
            <sz val="9"/>
            <color indexed="81"/>
            <rFont val="Tahoma"/>
            <family val="2"/>
          </rPr>
          <t>Anvay:</t>
        </r>
        <r>
          <rPr>
            <sz val="9"/>
            <color indexed="81"/>
            <rFont val="Tahoma"/>
            <family val="2"/>
          </rPr>
          <t xml:space="preserve">
The ₹1,600/share deal price acts as the comparison anchor in this football field valuation. Its purpose is to compare what different valuation methods imply Vs the actual price Torrent agreed to pay for JB Pharma.
DCF → shows whether the deal looks cheap or expensive versus intrinsic value
Comparable Companies → shows what the public market values similar pharma companies at
Precedent Transactions → shows historical acquisition valuations in similar deals
52 Week Trading Range → shows where JB Pharma historically traded in the stock market
Since JB was trading around ₹1,801/share before the deal while Torrent acquired it at ₹1,600/share, the football field suggests that Torrent purchased the company at a discount to both market trading levels and several valuation benchmarks.
</t>
        </r>
      </text>
    </comment>
    <comment ref="F19" authorId="0" shapeId="0" xr:uid="{508BDCA3-CE6F-462D-8D6D-D7CB54FE3604}">
      <text>
        <r>
          <rPr>
            <b/>
            <sz val="9"/>
            <color indexed="81"/>
            <rFont val="Tahoma"/>
            <family val="2"/>
          </rPr>
          <t>Anvay:</t>
        </r>
        <r>
          <rPr>
            <sz val="9"/>
            <color indexed="81"/>
            <rFont val="Tahoma"/>
            <family val="2"/>
          </rPr>
          <t xml:space="preserve">
on deal date month share price</t>
        </r>
      </text>
    </comment>
  </commentList>
</comments>
</file>

<file path=xl/sharedStrings.xml><?xml version="1.0" encoding="utf-8"?>
<sst xmlns="http://schemas.openxmlformats.org/spreadsheetml/2006/main" count="544" uniqueCount="399">
  <si>
    <t>Torrent Pharmaceuticals acquiring J.B. Chemicals &amp; Pharmaceuticals | ₹ Crores</t>
  </si>
  <si>
    <t>Metric</t>
  </si>
  <si>
    <t>FY23A</t>
  </si>
  <si>
    <t>FY24A</t>
  </si>
  <si>
    <t>FY25A</t>
  </si>
  <si>
    <t>FY26E</t>
  </si>
  <si>
    <t>FY27E</t>
  </si>
  <si>
    <t>FY28E</t>
  </si>
  <si>
    <t>FY29E</t>
  </si>
  <si>
    <t>FY30E</t>
  </si>
  <si>
    <t>J.B. CHEMICALS — KEY DRIVERS (INPUTS ONLY — CHANGE HERE)</t>
  </si>
  <si>
    <t>Revenue Growth % (YoY)</t>
  </si>
  <si>
    <t>-</t>
  </si>
  <si>
    <t>Gross Margin %</t>
  </si>
  <si>
    <t>EBITDA Margin %</t>
  </si>
  <si>
    <t>D&amp;A as % of Revenue</t>
  </si>
  <si>
    <t>CapEx as % of Revenue</t>
  </si>
  <si>
    <t>Net Working Capital as % of Revenue</t>
  </si>
  <si>
    <t>Effective Tax Rate %</t>
  </si>
  <si>
    <t>J.B. CHEMICALS — DERIVED FINANCIALS (Formula-calculated from drivers above)</t>
  </si>
  <si>
    <t xml:space="preserve">  Tax Rate %</t>
  </si>
  <si>
    <t>TORRENT PHARMACEUTICALS — KEY DRIVERS (INPUTS ONLY)</t>
  </si>
  <si>
    <t>TORRENT — DERIVED FINANCIALS (Formula-calculated from drivers above)</t>
  </si>
  <si>
    <t xml:space="preserve">  Shares Outstanding — Torrent pre-merger (Cr)</t>
  </si>
  <si>
    <t>DEAL PARAMETERS &amp; FINANCING ASSUMPTIONS</t>
  </si>
  <si>
    <t>JB Fully Diluted Shares (Crores)</t>
  </si>
  <si>
    <t>KKR Stake Acquired %</t>
  </si>
  <si>
    <t>ESOP Stake Acquired %</t>
  </si>
  <si>
    <t>Open Offer % Accepted (assumption)</t>
  </si>
  <si>
    <t>NCD Blended Interest Rate %</t>
  </si>
  <si>
    <t>Merger Swap: Torrent shares per 100 JB shares</t>
  </si>
  <si>
    <t>Goodwill/Intangibles Amortisation Policy (Years)</t>
  </si>
  <si>
    <t>J.B. CHEMICALS &amp; PHARMACEUTICALS — STANDALONE 3-STATEMENT MODEL</t>
  </si>
  <si>
    <t>All values derived from Assumptions sheet drivers | ₹ Crores | FY ending March 31</t>
  </si>
  <si>
    <t>INCOME STATEMENT</t>
  </si>
  <si>
    <t>Revenue</t>
  </si>
  <si>
    <t xml:space="preserve">  Revenue Growth YoY %</t>
  </si>
  <si>
    <t>Gross Profit</t>
  </si>
  <si>
    <t xml:space="preserve">  Gross Margin %</t>
  </si>
  <si>
    <t>EBITDA</t>
  </si>
  <si>
    <t xml:space="preserve">  EBITDA Margin %</t>
  </si>
  <si>
    <t>Depreciation &amp; Amortisation</t>
  </si>
  <si>
    <t>EBIT</t>
  </si>
  <si>
    <t>Interest Expense</t>
  </si>
  <si>
    <t>Other Income</t>
  </si>
  <si>
    <t>PBT</t>
  </si>
  <si>
    <t>Tax</t>
  </si>
  <si>
    <t>PAT</t>
  </si>
  <si>
    <t xml:space="preserve">  PAT Margin %</t>
  </si>
  <si>
    <t>EPS (₹/share)</t>
  </si>
  <si>
    <t>FREE CASH FLOW (UFCF) FOR DCF</t>
  </si>
  <si>
    <t>(-) Cash Tax on EBIT</t>
  </si>
  <si>
    <t>(-) CapEx</t>
  </si>
  <si>
    <t>(-) Increase in Net Working Capital</t>
  </si>
  <si>
    <t>UNLEVERED FREE CASH FLOW (UFCF)</t>
  </si>
  <si>
    <t>All values derived from Assumptions sheet drivers | ₹ Crores</t>
  </si>
  <si>
    <t>Other Income / (Expense)</t>
  </si>
  <si>
    <t>EPS — Standalone (₹/share)</t>
  </si>
  <si>
    <t>DEAL MECHANICS — PURCHASE PRICE | SOURCES &amp; USES | GOODWILL | SWAP</t>
  </si>
  <si>
    <t>All figures in ₹ Crores | Linked directly from Assumptions sheet</t>
  </si>
  <si>
    <t>SECTION 1 — PURCHASE PRICE ANALYSIS</t>
  </si>
  <si>
    <t>KKR Stake Acquired (%)</t>
  </si>
  <si>
    <t>ESOP Stake Acquired (%)</t>
  </si>
  <si>
    <t>Open Offer % Accepted</t>
  </si>
  <si>
    <t>TOTAL CASH CONSIDERATION (A+B+C)</t>
  </si>
  <si>
    <t>(-) JB Cash Acquired (net cash FY25)</t>
  </si>
  <si>
    <t>(+) JB Net Debt at Acquisition</t>
  </si>
  <si>
    <t>SECTION 2 — SOURCES &amp; USES OF FUNDS</t>
  </si>
  <si>
    <t>USES OF FUNDS</t>
  </si>
  <si>
    <t>₹ Crores</t>
  </si>
  <si>
    <t>SOURCES OF FUNDS</t>
  </si>
  <si>
    <t>(A) KKR SPA Payment</t>
  </si>
  <si>
    <t>NCD Bond Issuance (7.6% coupon)</t>
  </si>
  <si>
    <t>(B) ESOP Payment</t>
  </si>
  <si>
    <t>Torrent Internal Cash / Accruals</t>
  </si>
  <si>
    <t>(C) Open Offer Payment</t>
  </si>
  <si>
    <t>JB Cash on Balance Sheet Acquired</t>
  </si>
  <si>
    <t>Transaction Costs (0.5% of cash)</t>
  </si>
  <si>
    <t>—</t>
  </si>
  <si>
    <t>TOTAL USES</t>
  </si>
  <si>
    <t>TOTAL SOURCES</t>
  </si>
  <si>
    <t>⚡ BALANCE CHECK (Sources − Uses)  MUST = 0</t>
  </si>
  <si>
    <t>SECTION 3 — GOODWILL &amp; PURCHASE PRICE ALLOCATION</t>
  </si>
  <si>
    <t>(D) Fair Value of Net Assets (B + C)</t>
  </si>
  <si>
    <t>GOODWILL (A − D)</t>
  </si>
  <si>
    <t>Amortisation Policy (Years)</t>
  </si>
  <si>
    <t>SECTION 4 — MERGER SHARE ISSUANCE (51:100 SWAP RATIO)</t>
  </si>
  <si>
    <t>Torrent Pre-Merger Shares Outstanding (Cr)</t>
  </si>
  <si>
    <t>JB Fully Diluted Shares (Cr)</t>
  </si>
  <si>
    <t>Torrent Stake in JB post-deals (%)</t>
  </si>
  <si>
    <t>JB Minority Shares (held by others, Cr)</t>
  </si>
  <si>
    <t>Swap Ratio (Torrent per 100 JB shares)</t>
  </si>
  <si>
    <t>NEW Torrent Shares Issued in Merger (Cr)</t>
  </si>
  <si>
    <t>TORRENT POST-MERGER SHARES TOTAL (Cr)</t>
  </si>
  <si>
    <t>TOTAL DEAL CONSIDERATION (Cash + Share Swap)</t>
  </si>
  <si>
    <t>SYNERGY MODEL — COST &amp; REVENUE SYNERGIES</t>
  </si>
  <si>
    <t>COST SYNERGIES (₹ Crores)</t>
  </si>
  <si>
    <t>FY27E
(Yr1)</t>
  </si>
  <si>
    <t>FY28E
(Yr2)</t>
  </si>
  <si>
    <t>FY29E
(Yr3)</t>
  </si>
  <si>
    <t>FY30E
(Yr4)</t>
  </si>
  <si>
    <t>FY31E
(Yr5)</t>
  </si>
  <si>
    <t>1. Field Force &amp; MR Rationalisation</t>
  </si>
  <si>
    <t>2. Procurement &amp; API Sourcing</t>
  </si>
  <si>
    <t>3. Manufacturing &amp; Plant Utilisation</t>
  </si>
  <si>
    <t>4. Corporate Overheads &amp; IT</t>
  </si>
  <si>
    <t>5. Trade Generics Discontinuation</t>
  </si>
  <si>
    <t>TOTAL COST SYNERGIES</t>
  </si>
  <si>
    <t>REVENUE SYNERGIES (₹ Crores)</t>
  </si>
  <si>
    <t>1. Cardiac/Gastro Cross-Selling (India)</t>
  </si>
  <si>
    <t>2. International EM Scale (Russia/Africa)</t>
  </si>
  <si>
    <t>3. Ophthalmology &amp; Novartis Portfolio</t>
  </si>
  <si>
    <t>4. CDMO Lozenges Utilisation</t>
  </si>
  <si>
    <t>TOTAL REVENUE SYNERGIES</t>
  </si>
  <si>
    <t>TOTAL INTEGRATION COSTS</t>
  </si>
  <si>
    <t>NET SYNERGY BENEFIT (Cost Synergies + Revenue Synergies − Integration Costs)</t>
  </si>
  <si>
    <t>NET SYNERGY TO P&amp;L (₹ Cr)</t>
  </si>
  <si>
    <t>ACCRETION / DILUTION ANALYSIS</t>
  </si>
  <si>
    <t>Torrent Standalone EPS vs Combined EPS | Swap Ratio 51:100 | All values ₹</t>
  </si>
  <si>
    <t>EPS BRIDGE — STANDALONE TO COMBINED</t>
  </si>
  <si>
    <t>COMBINED PAT ATTRIBUTABLE (₹ Cr)</t>
  </si>
  <si>
    <t>Torrent Pre-Merger Shares (Cr)</t>
  </si>
  <si>
    <t>(+) New Shares Issued in Merger (Cr)</t>
  </si>
  <si>
    <t>COMBINED SHARES OUTSTANDING (Cr)</t>
  </si>
  <si>
    <t>COMBINED ENTITY EPS (₹)</t>
  </si>
  <si>
    <t>ACCRETION / (DILUTION) — ₹</t>
  </si>
  <si>
    <t>PRO FORMA COMBINED — INCOME STATEMENT &amp; BALANCE SHEET</t>
  </si>
  <si>
    <t>Torrent + JB Chemicals | FY26-30E | All ₹ Crores | Synergies phased per Synergies sheet</t>
  </si>
  <si>
    <t>COMBINED INCOME STATEMENT</t>
  </si>
  <si>
    <t>5yr CAGR</t>
  </si>
  <si>
    <t>Combined D&amp;A (ex-goodwill amort)</t>
  </si>
  <si>
    <t>Total D&amp;A incl. Goodwill Amort</t>
  </si>
  <si>
    <t>Tax @ 27%</t>
  </si>
  <si>
    <t>VALUATION — J.B. CHEMICALS &amp; PHARMACEUTICALS</t>
  </si>
  <si>
    <t>Three Independent Methods: (1) DCF Intrinsic  |  (2) Comparable Companies  |  (3) Precedent Transactions  |  All ₹ Crores</t>
  </si>
  <si>
    <t>Parameter</t>
  </si>
  <si>
    <t>Value</t>
  </si>
  <si>
    <t>Risk-Free Rate (10yr G-Sec)</t>
  </si>
  <si>
    <t>Unlevered Beta (pharma peers avg)</t>
  </si>
  <si>
    <t>Tax Rate</t>
  </si>
  <si>
    <t>Relevered Beta</t>
  </si>
  <si>
    <t>Cost of Debt (pre-tax)</t>
  </si>
  <si>
    <t>After-Tax Cost of Debt</t>
  </si>
  <si>
    <t>Equity Weight</t>
  </si>
  <si>
    <t>Debt Weight</t>
  </si>
  <si>
    <t>WACC</t>
  </si>
  <si>
    <t>UFCF PROJECTIONS &amp; TERMINAL VALUE</t>
  </si>
  <si>
    <t>(-) Δ Net Working Capital</t>
  </si>
  <si>
    <t>Discount Factor</t>
  </si>
  <si>
    <t>PV of UFCF</t>
  </si>
  <si>
    <t>TERMINAL VALUE (EV/EBITDA Exit Multiple)</t>
  </si>
  <si>
    <t>DCF SUMMARY</t>
  </si>
  <si>
    <t>Implied Price/Share (₹)</t>
  </si>
  <si>
    <t>Premium/(Discount) of Deal to DCF</t>
  </si>
  <si>
    <t>METHOD 2: COMPARABLE COMPANY ANALYSIS</t>
  </si>
  <si>
    <t>Company</t>
  </si>
  <si>
    <t>EV (₹Cr)</t>
  </si>
  <si>
    <t>Eris Lifesciences</t>
  </si>
  <si>
    <t>J.B. Chemicals (Subject)</t>
  </si>
  <si>
    <t>MEDIAN (ex-JB)</t>
  </si>
  <si>
    <t>MEAN (ex-JB)</t>
  </si>
  <si>
    <t>COMPS-IMPLIED JB VALUATION</t>
  </si>
  <si>
    <t>Median Peer EV/EBITDA</t>
  </si>
  <si>
    <t>Mean Peer EV/EBITDA</t>
  </si>
  <si>
    <t>(-) Net Debt</t>
  </si>
  <si>
    <t>Implied Price — Median (₹)</t>
  </si>
  <si>
    <t>Implied Price — Mean (₹)</t>
  </si>
  <si>
    <t>METHOD 3: PRECEDENT TRANSACTIONS</t>
  </si>
  <si>
    <t>Transaction</t>
  </si>
  <si>
    <t>Year</t>
  </si>
  <si>
    <t>EV/EBITDA</t>
  </si>
  <si>
    <t>Control
Premium%</t>
  </si>
  <si>
    <t>Torrent acquires Curatio HC</t>
  </si>
  <si>
    <t>Mankind acquires BSV</t>
  </si>
  <si>
    <t>2023</t>
  </si>
  <si>
    <t>Torrent / JB (THIS DEAL)</t>
  </si>
  <si>
    <t>2025</t>
  </si>
  <si>
    <t>Median Precedent EV/EBITDA</t>
  </si>
  <si>
    <t>Precedent Implied EV (incl. control prem)</t>
  </si>
  <si>
    <t>Implied Equity Value (₹ Cr)</t>
  </si>
  <si>
    <t>EXECUTIVE SUMMARY &amp; FOOTBALL FIELD VALUATION</t>
  </si>
  <si>
    <t>Torrent Pharmaceuticals — Acquisition of J.B. Chemicals &amp; Pharmaceuticals</t>
  </si>
  <si>
    <t>DEAL SNAPSHOT</t>
  </si>
  <si>
    <t>KEY FINANCIAL METRICS (FY25 STANDALONE)</t>
  </si>
  <si>
    <t>Acquirer</t>
  </si>
  <si>
    <t>Torrent Pharmaceuticals Ltd</t>
  </si>
  <si>
    <t>Torrent</t>
  </si>
  <si>
    <t>JB Chem</t>
  </si>
  <si>
    <t>Combined</t>
  </si>
  <si>
    <t>Target</t>
  </si>
  <si>
    <t>J.B. Chemicals &amp; Pharmaceuticals Ltd</t>
  </si>
  <si>
    <t>Deal Type</t>
  </si>
  <si>
    <t>SPA (46.39%) + Open Offer (26%) + Merger</t>
  </si>
  <si>
    <t>Headline EV</t>
  </si>
  <si>
    <t>₹25,689 Crores</t>
  </si>
  <si>
    <t>SPA Price</t>
  </si>
  <si>
    <t>₹1,600 / share (KKR exit)</t>
  </si>
  <si>
    <t>Open Offer Price</t>
  </si>
  <si>
    <t>₹1,639.18 / share</t>
  </si>
  <si>
    <t>EPS (₹)</t>
  </si>
  <si>
    <t>Merger Swap</t>
  </si>
  <si>
    <t>51 Torrent shares per 100 JB shares</t>
  </si>
  <si>
    <t>Financing</t>
  </si>
  <si>
    <t>₹12,500Cr NCD @ 7.6%</t>
  </si>
  <si>
    <t>Implied EV/EBITDA</t>
  </si>
  <si>
    <t>~22x FY26E (mgmt guided)</t>
  </si>
  <si>
    <t>IPM Rank</t>
  </si>
  <si>
    <t>Top 2-3</t>
  </si>
  <si>
    <t>Synergy Target</t>
  </si>
  <si>
    <t>₹400-450Cr p.a. (3-yr ramp)</t>
  </si>
  <si>
    <t>FOOTBALL FIELD — IMPLIED JB EQUITY VALUE (₹ Crores)</t>
  </si>
  <si>
    <t>Methodology</t>
  </si>
  <si>
    <t>Low</t>
  </si>
  <si>
    <t>Mid</t>
  </si>
  <si>
    <t>High</t>
  </si>
  <si>
    <t>Impl. Price
Low (₹)</t>
  </si>
  <si>
    <t>Impl. Price
High (₹)</t>
  </si>
  <si>
    <t>Deal Price
(₹)</t>
  </si>
  <si>
    <t>52-Week Mkt Range</t>
  </si>
  <si>
    <t>DEAL VALUATION</t>
  </si>
  <si>
    <t>COMBINED ENTITY GROWTH TRAJECTORY (₹ Crores)</t>
  </si>
  <si>
    <t>Combined Revenue (₹ Cr)</t>
  </si>
  <si>
    <t>Combined EBITDA (₹ Cr)</t>
  </si>
  <si>
    <t>Combined PAT (₹ Cr)</t>
  </si>
  <si>
    <t>Torrent Standalone EPS (₹)</t>
  </si>
  <si>
    <t>Combined Entity EPS (₹)</t>
  </si>
  <si>
    <t>STRATEGIC VERDICT &amp; INVESTMENT THESIS</t>
  </si>
  <si>
    <t>Total Debt</t>
  </si>
  <si>
    <t>Transaction Cost</t>
  </si>
  <si>
    <t>Implied EV/EBITDA — Acquired Stake Only (not deal metric)</t>
  </si>
  <si>
    <t>Headline Deal EV/EBITDA — 100% Implied Basis (deal metric)</t>
  </si>
  <si>
    <t>Headline Deal EV/EBITDA — FY26E Basis (mgmt cited)</t>
  </si>
  <si>
    <t>Torrent Standalone EPS — Post-Deal Basis (₹)</t>
  </si>
  <si>
    <t>cost of Equiy (pre-tax)</t>
  </si>
  <si>
    <t>Long Term Growth (g)</t>
  </si>
  <si>
    <t>Sum of PV of FCFF</t>
  </si>
  <si>
    <t>Exit Multiple</t>
  </si>
  <si>
    <t>Terminal Enterprise Value</t>
  </si>
  <si>
    <t>PV of Terminal Enterprise Value</t>
  </si>
  <si>
    <t>FY31 after-tax synergy</t>
  </si>
  <si>
    <t>Terminal Synergy Value</t>
  </si>
  <si>
    <t>Discount Terminal Value</t>
  </si>
  <si>
    <t>After Tax Syenergy</t>
  </si>
  <si>
    <t>Pv of Synergy</t>
  </si>
  <si>
    <t>SYNERGY VALUATION ANALYSIS (Cr)</t>
  </si>
  <si>
    <t>Alkem</t>
  </si>
  <si>
    <t>Mankind</t>
  </si>
  <si>
    <t>Ipca</t>
  </si>
  <si>
    <t>Ajanta Pharma</t>
  </si>
  <si>
    <t>Market Cap (Cr)</t>
  </si>
  <si>
    <t>Enterprise Value (Cr)</t>
  </si>
  <si>
    <t>LTM EBITDA (Cr)</t>
  </si>
  <si>
    <t>EV / EBITDA</t>
  </si>
  <si>
    <t>P / E Ratio</t>
  </si>
  <si>
    <t>Sun Pharma acquires remaining Taro stake</t>
  </si>
  <si>
    <t>2022</t>
  </si>
  <si>
    <t>2024</t>
  </si>
  <si>
    <t>Zydus Lifesciences acquires Assertio Holdings</t>
  </si>
  <si>
    <t>2026</t>
  </si>
  <si>
    <t>Ipca Laboratories acquires Unichem Laboratories</t>
  </si>
  <si>
    <t>MEDIAN</t>
  </si>
  <si>
    <t>DCF — Base (10.7% WACC)</t>
  </si>
  <si>
    <t>Interest (Amt)</t>
  </si>
  <si>
    <t>DCF — Bear (11.5% WACC and 16x)</t>
  </si>
  <si>
    <t>Comps — Bear</t>
  </si>
  <si>
    <t>Comps — Base</t>
  </si>
  <si>
    <t>Comps Bull</t>
  </si>
  <si>
    <t>DCF — Bull (9.7% WACC)</t>
  </si>
  <si>
    <t>Precedents Bear</t>
  </si>
  <si>
    <t>Precedents Base</t>
  </si>
  <si>
    <t>Precedents + 30% ctrl prem (Bull)</t>
  </si>
  <si>
    <t>Control Premium</t>
  </si>
  <si>
    <t>PRO FORMA CAPITALIZATION &amp; LEVERAGE (DAY 1 CLOSING)</t>
  </si>
  <si>
    <t>Torrent Standalone Net Debt</t>
  </si>
  <si>
    <t>JB Standalone Net Debt</t>
  </si>
  <si>
    <t>New Deal Debt Issued (NCDs)</t>
  </si>
  <si>
    <t>Torrent Internal Cash Used for Deal</t>
  </si>
  <si>
    <t>Pro Forma Day 1 Net Debt</t>
  </si>
  <si>
    <t>Pro Forma Net Debt / EBITDA</t>
  </si>
  <si>
    <t>Combined LTM EBITDA (FY25 Base)</t>
  </si>
  <si>
    <t>METHOD 1: DCF — WACC</t>
  </si>
  <si>
    <t>Equity Risk Premium - India</t>
  </si>
  <si>
    <t>D/E Ratio (JB - near debt free)</t>
  </si>
  <si>
    <t>Helper Column</t>
  </si>
  <si>
    <t>The football field analysis indicates that most valuation methodologies value JB Chemicals in the range of ~₹24,000 Cr to ₹31,000 Cr on a standalone basis, while strategic precedent transactions with higher control premiums imply upside beyond ₹35,000 Cr. Torrent’s agreed deal value of ~₹25,700 Cr (₹1,600/share SPA price and ₹1,639 open offer price) lies within the lower to mid end of the overall valuation range, suggesting that the acquisition was executed at a fair and reasonable valuation before considering future synergies. The analysis also highlights that additional value creation potential exists through operational and strategic synergies post-acquisition.</t>
  </si>
  <si>
    <t>Accretion (%)</t>
  </si>
  <si>
    <t>#</t>
  </si>
  <si>
    <t>✅ Strategic Fit &amp; Margin Expansion</t>
  </si>
  <si>
    <t>JB Chemicals &amp; Pharmaceuticals has a strong and high margin domestic business in therapies like Cardiac and Gastro, which fits well with Torrent Pharmaceuticals’ existing business. JB’s EBITDA margins are expected to improve to around 30% by FY30E, making it a highly profitable and cash generating company. The deal is also expected to create around ₹400 to 450 Cr of cost synergies over 3 years through savings in areas like medical representatives and procurement, which will improve the combined company’s profitability.</t>
  </si>
  <si>
    <t>✅ Valuation Triangulation &amp; Margin of Safety</t>
  </si>
  <si>
    <t>Torrent Pharmaceuticals is buying JB Chemicals &amp; Pharmaceuticals at around ₹1,600 to ₹1,639 per share, which is slightly below JB’s estimated fair value of around ₹1,670 to ₹1,685 per share based on DCF, Comparable Companies and past deals like Curatio and BSV. This means Torrent is acquiring the company at a reasonable price and the expected synergies worth around ₹6,225 Cr become an additional upside benefit for Torrent shareholders.</t>
  </si>
  <si>
    <t>✅ Scale &amp; Market Dominance (IPM Rank)</t>
  </si>
  <si>
    <t>This acquisition is a major step for Torrent Pharmaceuticals, as it moves the company from Rank 7 to among the Top 2 to 3 players in the Indian Pharmaceutical Market (IPM). This larger scale gives Torrent stronger pricing power, better negotiating strength with distributors and pharmacies for shelf space and the potential to receive a higher market valuation like other top pharmaceutical companies.Russia ($20M) + South Africa exposure + medicated lozenges CDMO. A non replicable, high margin B2B platform with global blue chip clients.</t>
  </si>
  <si>
    <t>The deal is expected to reduce Torrent Pharmaceuticals’ EPS by around 19% in FY26E because the company is raising a large ₹12,500 Cr NCD debt at a 7.6% interest rate to finance the acquisition. After the deal, Net Debt/EBITDA will rise sharply to around 3.1x, showing a much higher debt burden. Therefore, successful execution is very important and Torrent must quickly achieve the expected synergies in the first few years to offset the yearly after tax interest cost of around ₹766 Cr and bring the deal back to EPS accretion by FY29.</t>
  </si>
  <si>
    <t>⚠️ Leverage &amp; Dilution Risk (The Headwind)</t>
  </si>
  <si>
    <t>⚠️ Valuation Risk (The Multiple)</t>
  </si>
  <si>
    <t>At around 22x to 23x FY25 EV/EBITDA, the acquisition is being done at a relatively expensive valuation compared to past Indian pharma deals. Because of this, the success of the deal depends heavily on smooth integration and achieving the expected synergies. Torrent Pharmaceuticals needs to achieve at least 75% of the projected ₹400 to 450 Cr synergies just to avoid EPS dilution. If the synergies are delayed or lower than expected during the 3 year integration period, shareholders may face longer EPS dilution and pressure on the stock price.</t>
  </si>
  <si>
    <t>📌 Final Conclusion (The Verdict)</t>
  </si>
  <si>
    <t>DEAL IS STRATEGICALLY COMPELLING AND FINANCIALLY JUSTIFIABLE. While the upfront leverage and EPS dilution are real near term headwinds, the strategic acquisition of JB's high growth portfolio at a discount to its intrinsic standalone value (₹1,670-₹1,685) creates a massive margin of safety. If management successfully executes the ~₹6,225 Cr synergy plan, the deal will rapidly deleverage and deliver immense long term value creation for Torrent shareholders.</t>
  </si>
  <si>
    <t>M&amp;A FINANCIAL MODEL — ASSUMPTIONS (DRIVER BASED)</t>
  </si>
  <si>
    <t>TORRENT PHARMACEUTICALS — STANDALONE 3 STATEMENT MODEL</t>
  </si>
  <si>
    <t>Source: Torrent Q3FY26 CC — Aman Mehta: ₹400-450Cr cost synergies over 3 years</t>
  </si>
  <si>
    <t>ONE TIME INTEGRATION COSTS (₹ Crores) — EXPENSED AGAINST SYNERGIES</t>
  </si>
  <si>
    <t>ACCRETION / (DILUTION) — %</t>
  </si>
  <si>
    <t>WACC ↓</t>
  </si>
  <si>
    <t>EXIT MULTIPLE ➔</t>
  </si>
  <si>
    <t>MEDIAN ↓</t>
  </si>
  <si>
    <t>LTM EBITDA ➔</t>
  </si>
  <si>
    <t>MEDIAN EV/EBITDA ↓</t>
  </si>
  <si>
    <t>CONTROL PREMIUM ➔</t>
  </si>
  <si>
    <t>PRECEDENT SENSITIVITY ANALYSIS</t>
  </si>
  <si>
    <t>COMPARABLE COMPS SENSITIVITY ANALYSIS</t>
  </si>
  <si>
    <t>DCF SENSITIVITY ANALYSIS</t>
  </si>
  <si>
    <t>STRICTLY CONFIDENTIAL</t>
  </si>
  <si>
    <t>TORRENT PHARMA LTD.</t>
  </si>
  <si>
    <t>Proposed Acquisition of</t>
  </si>
  <si>
    <t>JB CHEMICALS &amp; PHARMACEUTICULS LTD.</t>
  </si>
  <si>
    <t>F I N A N C I A L   M O D E L</t>
  </si>
  <si>
    <t>Assumptions &amp; Operating Drivers</t>
  </si>
  <si>
    <t>Standalone Financial Model — Torrent Pharma</t>
  </si>
  <si>
    <t>Standalone Financial Model — JB Chemicals</t>
  </si>
  <si>
    <t>Revenue &amp; Cost Synergies</t>
  </si>
  <si>
    <t>Deal Structure Analysis</t>
  </si>
  <si>
    <t>Pro Forma Merger Financials</t>
  </si>
  <si>
    <t>EPS Accretion / Dilution Analysis</t>
  </si>
  <si>
    <t>Integrated Valuation Framework</t>
  </si>
  <si>
    <t>Football Field Valuation Summary</t>
  </si>
  <si>
    <t>Date: 22 MAY 2026</t>
  </si>
  <si>
    <t>Interest Expense (Cr) — JB standalone</t>
  </si>
  <si>
    <t xml:space="preserve">  D&amp;A (Cr)</t>
  </si>
  <si>
    <t>Revenue (Cr)</t>
  </si>
  <si>
    <t xml:space="preserve">  Gross Profit (Cr)</t>
  </si>
  <si>
    <t xml:space="preserve">  EBITDA (Cr)</t>
  </si>
  <si>
    <t xml:space="preserve">  EBIT (Cr)</t>
  </si>
  <si>
    <t xml:space="preserve">  CapEx (Cr)</t>
  </si>
  <si>
    <t xml:space="preserve">  Net Working Capital (Cr)</t>
  </si>
  <si>
    <t xml:space="preserve">  Δ Net Working Capital (Cr) — (increase=cash outflow)</t>
  </si>
  <si>
    <t xml:space="preserve">  Interest Expense (Cr)</t>
  </si>
  <si>
    <t>Interest Expense (Cr) — Torrent standalone (post deal)</t>
  </si>
  <si>
    <t xml:space="preserve">  PAT (Cr) — Torrent Standalone</t>
  </si>
  <si>
    <t>NCD Bond Issuance (Cr)</t>
  </si>
  <si>
    <t>JB Book Equity FY25 (Cr)</t>
  </si>
  <si>
    <t>Fair Value Uplift on Brands &amp; Intangibles (Cr)</t>
  </si>
  <si>
    <t>Torrent Own Cash Used for Acquisition (Cr)</t>
  </si>
  <si>
    <t xml:space="preserve">  Goodwill Amortisation p.a. (Cr) — derived</t>
  </si>
  <si>
    <t>SPA Price per Share  — KKR</t>
  </si>
  <si>
    <t xml:space="preserve">Open Offer Price per Share </t>
  </si>
  <si>
    <t xml:space="preserve">Torrent Share Price for Swap </t>
  </si>
  <si>
    <t>Redundancy &amp; Voluntary Retirement (Cr)</t>
  </si>
  <si>
    <t>IT Systems Integration (Cr)</t>
  </si>
  <si>
    <t>Plant &amp; Process Harmonisation (Cr)</t>
  </si>
  <si>
    <t>SPA Price per Share — KKR</t>
  </si>
  <si>
    <t>Torrent Revenue (Cr)</t>
  </si>
  <si>
    <t>JB Chemicals Revenue (Cr)</t>
  </si>
  <si>
    <t>(+) Revenue Synergies (Cr)</t>
  </si>
  <si>
    <t>COMBINED REVENUE (Cr)</t>
  </si>
  <si>
    <t>Torrent EBITDA (Cr)</t>
  </si>
  <si>
    <t>JB EBITDA (Cr)</t>
  </si>
  <si>
    <t>(+) Cost Synergies (Cr)</t>
  </si>
  <si>
    <t>(-) Integration Costs (Cr)</t>
  </si>
  <si>
    <t>COMBINED EBITDA (Cr)</t>
  </si>
  <si>
    <t>(-) Goodwill/Intangible Amortisation (Cr)</t>
  </si>
  <si>
    <t>EBIT (Cr)</t>
  </si>
  <si>
    <t>(-) Interest on Acquisition Debt (Cr)</t>
  </si>
  <si>
    <t>Other Income (Cr)</t>
  </si>
  <si>
    <t>PBT (Cr)</t>
  </si>
  <si>
    <t>COMBINED PAT (Cr)</t>
  </si>
  <si>
    <t>(A) KKR SPA Consideration (Cr)</t>
  </si>
  <si>
    <t>(B) ESOP Stake Consideration (Cr)</t>
  </si>
  <si>
    <t>(C) Open Offer Consideration (Cr)</t>
  </si>
  <si>
    <t>NET PURCHASE PRICE (EQUITY VALUE, Cr)</t>
  </si>
  <si>
    <t>EV of Torrent's Acquired Stake (~50%, Cr)</t>
  </si>
  <si>
    <t>(A) Total Equity Purchase Price (Cr)</t>
  </si>
  <si>
    <t>(B) JB Book Equity at Acquisition (Cr)</t>
  </si>
  <si>
    <t>(C) Fair Value Uplift — Brands &amp; Intangibles (Cr)</t>
  </si>
  <si>
    <t>Annual P&amp;L Amortisation Charge (Cr)</t>
  </si>
  <si>
    <t>Share Consideration Value (Cr)</t>
  </si>
  <si>
    <t xml:space="preserve">Torrent Share Price at Swap </t>
  </si>
  <si>
    <t>Torrent Pre-Deal PAT — Excl. NCD Interest (Cr)</t>
  </si>
  <si>
    <t>(+) JB Chemicals PAT (Cr)</t>
  </si>
  <si>
    <t>(+) Cost Synergies — After Tax (Cr)</t>
  </si>
  <si>
    <t>(+) Revenue Synergies — After Tax (Cr)</t>
  </si>
  <si>
    <t>(-) Integration Costs — After Tax (Cr)</t>
  </si>
  <si>
    <t>(-) Incremental Interest on NCDs — After Tax (Cr)</t>
  </si>
  <si>
    <t>(-) Goodwill Amortisation — After Tax (Cr)</t>
  </si>
  <si>
    <t>EBITDA (Cr)</t>
  </si>
  <si>
    <t>Discount Period (mid year)</t>
  </si>
  <si>
    <t>Terminal EBITDA (FY31E)</t>
  </si>
  <si>
    <t>ENTERPRISE VALUE — DCF</t>
  </si>
  <si>
    <t>EQUITY VALUE — DCF</t>
  </si>
  <si>
    <t>Deal Price</t>
  </si>
  <si>
    <t>JB LTM EBITDA</t>
  </si>
  <si>
    <t>Implied EV — Median</t>
  </si>
  <si>
    <t>Implied EV — Mean</t>
  </si>
  <si>
    <t>Implied Equity — Median</t>
  </si>
  <si>
    <t>Implied Equity — Mean</t>
  </si>
  <si>
    <t>EBITDA Margin</t>
  </si>
  <si>
    <t>Net Debt</t>
  </si>
  <si>
    <t>Mkt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</si>
</sst>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0.0%;\(0.0%\);\-"/>
    <numFmt numFmtId="165" formatCode="#,##0;\(#,##0\);\-"/>
    <numFmt numFmtId="166" formatCode="0.00%;\(0.00%\);\-"/>
    <numFmt numFmtId="167" formatCode="0.0\x"/>
    <numFmt numFmtId="168" formatCode="#,##0.0"/>
    <numFmt numFmtId="169" formatCode="0.0"/>
    <numFmt numFmtId="170" formatCode="0.0%"/>
    <numFmt numFmtId="171" formatCode="0.0%;\(0.0%\);&quot;-&quot;"/>
    <numFmt numFmtId="172" formatCode="0.0&quot;x&quot;"/>
    <numFmt numFmtId="173" formatCode="\₹\ #,##0;\(\₹\ #,##0\);&quot;-&quot;"/>
    <numFmt numFmtId="174" formatCode="\₹\ #,##0.0;\(\₹\ #,##0.0\);&quot;-&quot;"/>
    <numFmt numFmtId="175" formatCode="0&quot;x&quot;"/>
  </numFmts>
  <fonts count="55" x14ac:knownFonts="1">
    <font>
      <sz val="11"/>
      <color theme="1"/>
      <name val="Calibri"/>
      <family val="2"/>
      <charset val="1"/>
    </font>
    <font>
      <sz val="11"/>
      <color theme="1"/>
      <name val="Calibri"/>
      <family val="2"/>
    </font>
    <font>
      <b/>
      <sz val="13"/>
      <color rgb="FFFFFFFF"/>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0070C0"/>
      <name val="Calibri"/>
      <family val="2"/>
      <charset val="1"/>
    </font>
    <font>
      <i/>
      <sz val="8"/>
      <color rgb="FF7F7F7F"/>
      <name val="Calibri"/>
      <family val="2"/>
      <charset val="1"/>
    </font>
    <font>
      <sz val="10"/>
      <color rgb="FF0070C0"/>
      <name val="Calibri"/>
      <family val="2"/>
    </font>
    <font>
      <b/>
      <sz val="12"/>
      <color rgb="FFFFFFFF"/>
      <name val="Calibri"/>
      <family val="2"/>
      <charset val="1"/>
    </font>
    <font>
      <sz val="10"/>
      <color rgb="FF00B050"/>
      <name val="Calibri"/>
      <family val="2"/>
      <charset val="1"/>
    </font>
    <font>
      <b/>
      <sz val="11"/>
      <color rgb="FFFFFFFF"/>
      <name val="Calibri"/>
      <family val="2"/>
      <charset val="1"/>
    </font>
    <font>
      <sz val="10"/>
      <color rgb="FF7F7F7F"/>
      <name val="Calibri"/>
      <family val="2"/>
      <charset val="1"/>
    </font>
    <font>
      <b/>
      <sz val="10"/>
      <color rgb="FFFFFFFF"/>
      <name val="Calibri"/>
      <family val="2"/>
    </font>
    <font>
      <b/>
      <sz val="10"/>
      <color rgb="FF000000"/>
      <name val="Calibri"/>
      <family val="2"/>
    </font>
    <font>
      <sz val="10"/>
      <color rgb="FF000000"/>
      <name val="Calibri"/>
      <family val="2"/>
    </font>
    <font>
      <i/>
      <sz val="10"/>
      <color rgb="FF595959"/>
      <name val="Calibri"/>
      <family val="2"/>
    </font>
    <font>
      <sz val="9"/>
      <color indexed="81"/>
      <name val="Tahoma"/>
      <family val="2"/>
    </font>
    <font>
      <b/>
      <sz val="9"/>
      <color indexed="81"/>
      <name val="Tahoma"/>
      <family val="2"/>
    </font>
    <font>
      <b/>
      <sz val="11"/>
      <color theme="1"/>
      <name val="Calibri"/>
      <family val="2"/>
    </font>
    <font>
      <sz val="10"/>
      <color rgb="FF0000FF"/>
      <name val="Calibri"/>
      <family val="2"/>
      <charset val="1"/>
    </font>
    <font>
      <sz val="10"/>
      <color rgb="FF0000FF"/>
      <name val="Calibri"/>
      <family val="2"/>
    </font>
    <font>
      <sz val="10"/>
      <color theme="1"/>
      <name val="Calibri"/>
      <family val="2"/>
    </font>
    <font>
      <sz val="10"/>
      <color rgb="FFFFFFFF"/>
      <name val="Calibri"/>
      <family val="2"/>
    </font>
    <font>
      <b/>
      <sz val="10"/>
      <color theme="1"/>
      <name val="Calibri"/>
      <family val="2"/>
    </font>
    <font>
      <sz val="11"/>
      <color theme="1"/>
      <name val="Calibri"/>
      <family val="2"/>
      <charset val="1"/>
    </font>
    <font>
      <i/>
      <sz val="10"/>
      <color theme="0"/>
      <name val="Calibri"/>
      <family val="2"/>
    </font>
    <font>
      <b/>
      <sz val="10"/>
      <color theme="0"/>
      <name val="Calibri"/>
      <family val="2"/>
    </font>
    <font>
      <sz val="10"/>
      <color theme="1"/>
      <name val="Calibri"/>
      <family val="2"/>
      <charset val="1"/>
    </font>
    <font>
      <b/>
      <sz val="10"/>
      <color theme="1"/>
      <name val="Calibri"/>
      <family val="2"/>
      <charset val="1"/>
    </font>
    <font>
      <b/>
      <sz val="10"/>
      <color rgb="FF0000FF"/>
      <name val="Calibri"/>
      <family val="2"/>
    </font>
    <font>
      <b/>
      <sz val="18"/>
      <color rgb="FFFFFFFF"/>
      <name val="Calibri"/>
      <family val="2"/>
      <charset val="1"/>
    </font>
    <font>
      <b/>
      <sz val="11"/>
      <color rgb="FFFFFFFF"/>
      <name val="Calibri"/>
      <family val="2"/>
    </font>
    <font>
      <b/>
      <sz val="10"/>
      <color theme="0"/>
      <name val="Calibri"/>
      <family val="2"/>
      <charset val="1"/>
    </font>
    <font>
      <sz val="11"/>
      <color theme="0"/>
      <name val="Calibri"/>
      <family val="2"/>
      <charset val="1"/>
    </font>
    <font>
      <i/>
      <sz val="10"/>
      <color theme="0" tint="-0.499984740745262"/>
      <name val="Calibri"/>
      <family val="2"/>
    </font>
    <font>
      <b/>
      <sz val="11"/>
      <color theme="0"/>
      <name val="Calibri"/>
      <family val="2"/>
    </font>
    <font>
      <b/>
      <sz val="11"/>
      <color rgb="FF000000"/>
      <name val="Calibri"/>
      <family val="2"/>
      <charset val="1"/>
    </font>
    <font>
      <b/>
      <sz val="11"/>
      <color rgb="FF000000"/>
      <name val="Calibri"/>
      <family val="2"/>
    </font>
    <font>
      <i/>
      <sz val="10"/>
      <color rgb="FF0000FF"/>
      <name val="Calibri"/>
      <family val="2"/>
    </font>
    <font>
      <b/>
      <sz val="10"/>
      <color theme="9" tint="-0.249977111117893"/>
      <name val="Calibri"/>
      <family val="2"/>
    </font>
    <font>
      <sz val="10"/>
      <color theme="0"/>
      <name val="Calibri"/>
      <family val="2"/>
    </font>
    <font>
      <b/>
      <sz val="14"/>
      <color rgb="FF000000"/>
      <name val="Calibri"/>
      <family val="2"/>
    </font>
    <font>
      <sz val="9"/>
      <color theme="1"/>
      <name val="Calibri"/>
      <family val="2"/>
    </font>
    <font>
      <b/>
      <i/>
      <sz val="10"/>
      <color rgb="FF000000"/>
      <name val="Calibri"/>
      <family val="2"/>
    </font>
    <font>
      <b/>
      <sz val="14"/>
      <color rgb="FF000000"/>
      <name val="Calibri"/>
      <family val="2"/>
      <charset val="1"/>
    </font>
    <font>
      <sz val="14"/>
      <color theme="1"/>
      <name val="Calibri"/>
      <family val="2"/>
      <charset val="1"/>
    </font>
    <font>
      <b/>
      <sz val="18"/>
      <color rgb="FFC00000"/>
      <name val="Calibri"/>
      <family val="2"/>
    </font>
    <font>
      <b/>
      <sz val="14"/>
      <color theme="3" tint="-0.249977111117893"/>
      <name val="Calibri"/>
      <family val="2"/>
    </font>
    <font>
      <sz val="12"/>
      <color theme="1" tint="0.14999847407452621"/>
      <name val="Calibri"/>
      <family val="2"/>
      <charset val="1"/>
    </font>
    <font>
      <b/>
      <sz val="28"/>
      <color theme="1"/>
      <name val="Aharoni"/>
      <charset val="177"/>
    </font>
    <font>
      <i/>
      <sz val="11"/>
      <color theme="1"/>
      <name val="Calibri"/>
      <family val="2"/>
    </font>
    <font>
      <u/>
      <sz val="11"/>
      <color theme="10"/>
      <name val="Calibri"/>
      <family val="2"/>
      <charset val="1"/>
    </font>
    <font>
      <u/>
      <sz val="12"/>
      <color theme="10"/>
      <name val="Calibri"/>
      <family val="2"/>
      <charset val="1"/>
    </font>
    <font>
      <sz val="12"/>
      <color theme="1"/>
      <name val="Calibri"/>
      <family val="2"/>
      <charset val="1"/>
    </font>
  </fonts>
  <fills count="35">
    <fill>
      <patternFill patternType="none"/>
    </fill>
    <fill>
      <patternFill patternType="gray125"/>
    </fill>
    <fill>
      <patternFill patternType="solid">
        <fgColor rgb="FF1F3864"/>
        <bgColor rgb="FF333399"/>
      </patternFill>
    </fill>
    <fill>
      <patternFill patternType="solid">
        <fgColor rgb="FF2E75B6"/>
        <bgColor rgb="FF0070C0"/>
      </patternFill>
    </fill>
    <fill>
      <patternFill patternType="solid">
        <fgColor rgb="FFDCE6F1"/>
        <bgColor rgb="FFD9E2F3"/>
      </patternFill>
    </fill>
    <fill>
      <patternFill patternType="solid">
        <fgColor rgb="FFD9E2F3"/>
        <bgColor rgb="FFD6E4F0"/>
      </patternFill>
    </fill>
    <fill>
      <patternFill patternType="solid">
        <fgColor rgb="FFEDEDED"/>
        <bgColor rgb="FFF2F2F2"/>
      </patternFill>
    </fill>
    <fill>
      <patternFill patternType="solid">
        <fgColor rgb="FFFFFFFF"/>
        <bgColor rgb="FFF9F9F9"/>
      </patternFill>
    </fill>
    <fill>
      <patternFill patternType="solid">
        <fgColor rgb="FFFF0000"/>
        <bgColor rgb="FF993300"/>
      </patternFill>
    </fill>
    <fill>
      <patternFill patternType="solid">
        <fgColor rgb="FFFFC000"/>
        <bgColor rgb="FFF8B590"/>
      </patternFill>
    </fill>
    <fill>
      <patternFill patternType="solid">
        <fgColor rgb="FFD6E4F0"/>
        <bgColor rgb="FFD9E2F3"/>
      </patternFill>
    </fill>
    <fill>
      <patternFill patternType="solid">
        <fgColor rgb="FFF2F2F2"/>
        <bgColor rgb="FFF5F5F5"/>
      </patternFill>
    </fill>
    <fill>
      <patternFill patternType="solid">
        <fgColor rgb="FFF5F5F5"/>
        <bgColor rgb="FFF2F2F2"/>
      </patternFill>
    </fill>
    <fill>
      <patternFill patternType="solid">
        <fgColor theme="8" tint="0.39997558519241921"/>
        <bgColor indexed="64"/>
      </patternFill>
    </fill>
    <fill>
      <patternFill patternType="solid">
        <fgColor theme="8" tint="0.59999389629810485"/>
        <bgColor rgb="FFF9F9F9"/>
      </patternFill>
    </fill>
    <fill>
      <patternFill patternType="solid">
        <fgColor theme="0" tint="-0.14999847407452621"/>
        <bgColor indexed="64"/>
      </patternFill>
    </fill>
    <fill>
      <patternFill patternType="solid">
        <fgColor rgb="FFF2F2F2"/>
        <bgColor indexed="64"/>
      </patternFill>
    </fill>
    <fill>
      <patternFill patternType="solid">
        <fgColor theme="2"/>
        <bgColor indexed="64"/>
      </patternFill>
    </fill>
    <fill>
      <patternFill patternType="solid">
        <fgColor theme="2"/>
        <bgColor rgb="FFF9F9F9"/>
      </patternFill>
    </fill>
    <fill>
      <patternFill patternType="solid">
        <fgColor rgb="FFD9E2F3"/>
        <bgColor indexed="64"/>
      </patternFill>
    </fill>
    <fill>
      <patternFill patternType="solid">
        <fgColor rgb="FFD9E2F3"/>
        <bgColor rgb="FFF9F9F9"/>
      </patternFill>
    </fill>
    <fill>
      <patternFill patternType="solid">
        <fgColor theme="0"/>
        <bgColor indexed="64"/>
      </patternFill>
    </fill>
    <fill>
      <patternFill patternType="solid">
        <fgColor theme="0"/>
        <bgColor rgb="FF0070C0"/>
      </patternFill>
    </fill>
    <fill>
      <patternFill patternType="solid">
        <fgColor rgb="FF002060"/>
        <bgColor indexed="64"/>
      </patternFill>
    </fill>
    <fill>
      <patternFill patternType="solid">
        <fgColor rgb="FF2E75B6"/>
        <bgColor rgb="FFF9F9F9"/>
      </patternFill>
    </fill>
    <fill>
      <patternFill patternType="solid">
        <fgColor rgb="FF2E75B6"/>
        <bgColor indexed="64"/>
      </patternFill>
    </fill>
    <fill>
      <patternFill patternType="solid">
        <fgColor theme="9" tint="0.79998168889431442"/>
        <bgColor rgb="FFF9F9F9"/>
      </patternFill>
    </fill>
    <fill>
      <patternFill patternType="solid">
        <fgColor theme="0" tint="-4.9989318521683403E-2"/>
        <bgColor rgb="FFF9F9F9"/>
      </patternFill>
    </fill>
    <fill>
      <patternFill patternType="solid">
        <fgColor theme="0" tint="-4.9989318521683403E-2"/>
        <bgColor indexed="64"/>
      </patternFill>
    </fill>
    <fill>
      <patternFill patternType="solid">
        <fgColor rgb="FF031D56"/>
        <bgColor rgb="FFF9F9F9"/>
      </patternFill>
    </fill>
    <fill>
      <patternFill patternType="solid">
        <fgColor rgb="FF031D56"/>
        <bgColor indexed="64"/>
      </patternFill>
    </fill>
    <fill>
      <patternFill patternType="solid">
        <fgColor rgb="FFDCE6F1"/>
        <bgColor rgb="FFF9F9F9"/>
      </patternFill>
    </fill>
    <fill>
      <patternFill patternType="solid">
        <fgColor theme="0"/>
        <bgColor rgb="FFD6E4F0"/>
      </patternFill>
    </fill>
    <fill>
      <patternFill patternType="solid">
        <fgColor theme="0"/>
        <bgColor rgb="FFF2F2F2"/>
      </patternFill>
    </fill>
    <fill>
      <patternFill patternType="solid">
        <fgColor theme="0"/>
        <bgColor rgb="FFD9E2F3"/>
      </patternFill>
    </fill>
  </fills>
  <borders count="32">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right>
      <top style="thin">
        <color theme="0"/>
      </top>
      <bottom style="thin">
        <color theme="0"/>
      </bottom>
      <diagonal/>
    </border>
    <border>
      <left style="thin">
        <color theme="0"/>
      </left>
      <right style="thin">
        <color theme="0" tint="-0.499984740745262"/>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bottom/>
      <diagonal/>
    </border>
    <border>
      <left/>
      <right/>
      <top style="medium">
        <color auto="1"/>
      </top>
      <bottom style="medium">
        <color auto="1"/>
      </bottom>
      <diagonal/>
    </border>
    <border>
      <left/>
      <right/>
      <top style="thin">
        <color theme="0"/>
      </top>
      <bottom style="thin">
        <color theme="0"/>
      </bottom>
      <diagonal/>
    </border>
    <border>
      <left style="thin">
        <color auto="1"/>
      </left>
      <right style="thin">
        <color auto="1"/>
      </right>
      <top style="thin">
        <color theme="0"/>
      </top>
      <bottom style="thin">
        <color theme="0"/>
      </bottom>
      <diagonal/>
    </border>
    <border>
      <left style="thin">
        <color theme="0" tint="-0.24994659260841701"/>
      </left>
      <right style="thin">
        <color theme="0" tint="-0.24994659260841701"/>
      </right>
      <top style="thin">
        <color theme="0"/>
      </top>
      <bottom style="thin">
        <color theme="0" tint="-0.24994659260841701"/>
      </bottom>
      <diagonal/>
    </border>
    <border>
      <left/>
      <right style="thin">
        <color theme="0" tint="-0.499984740745262"/>
      </right>
      <top style="thin">
        <color theme="0"/>
      </top>
      <bottom/>
      <diagonal/>
    </border>
    <border>
      <left style="thin">
        <color theme="0" tint="-0.499984740745262"/>
      </left>
      <right style="thin">
        <color theme="0" tint="-0.499984740745262"/>
      </right>
      <top style="thin">
        <color theme="0"/>
      </top>
      <bottom/>
      <diagonal/>
    </border>
    <border>
      <left/>
      <right/>
      <top/>
      <bottom style="medium">
        <color theme="0" tint="-0.34998626667073579"/>
      </bottom>
      <diagonal/>
    </border>
    <border>
      <left/>
      <right/>
      <top/>
      <bottom style="thick">
        <color theme="0" tint="-0.499984740745262"/>
      </bottom>
      <diagonal/>
    </border>
    <border>
      <left/>
      <right/>
      <top style="thick">
        <color rgb="FF031D56"/>
      </top>
      <bottom/>
      <diagonal/>
    </border>
    <border>
      <left/>
      <right/>
      <top/>
      <bottom style="medium">
        <color theme="4" tint="-0.24994659260841701"/>
      </bottom>
      <diagonal/>
    </border>
    <border>
      <left/>
      <right/>
      <top style="medium">
        <color auto="1"/>
      </top>
      <bottom/>
      <diagonal/>
    </border>
    <border>
      <left style="thin">
        <color theme="0" tint="-0.24994659260841701"/>
      </left>
      <right style="thin">
        <color theme="0" tint="-0.24994659260841701"/>
      </right>
      <top/>
      <bottom style="thin">
        <color theme="0" tint="-0.24994659260841701"/>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s>
  <cellStyleXfs count="3">
    <xf numFmtId="0" fontId="0" fillId="0" borderId="0"/>
    <xf numFmtId="9" fontId="25" fillId="0" borderId="0" applyFont="0" applyFill="0" applyBorder="0" applyAlignment="0" applyProtection="0"/>
    <xf numFmtId="0" fontId="52" fillId="0" borderId="0" applyNumberFormat="0" applyFill="0" applyBorder="0" applyAlignment="0" applyProtection="0"/>
  </cellStyleXfs>
  <cellXfs count="289">
    <xf numFmtId="0" fontId="0" fillId="0" borderId="0" xfId="0"/>
    <xf numFmtId="0" fontId="0" fillId="0" borderId="0" xfId="0" applyProtection="1">
      <protection locked="0"/>
    </xf>
    <xf numFmtId="0" fontId="28" fillId="0" borderId="0" xfId="0" applyFont="1" applyProtection="1">
      <protection locked="0"/>
    </xf>
    <xf numFmtId="0" fontId="19" fillId="0" borderId="22" xfId="0" applyFont="1" applyBorder="1"/>
    <xf numFmtId="0" fontId="0" fillId="0" borderId="22" xfId="0" applyBorder="1"/>
    <xf numFmtId="0" fontId="50" fillId="0" borderId="23" xfId="0" applyFont="1" applyBorder="1"/>
    <xf numFmtId="0" fontId="0" fillId="0" borderId="23" xfId="0" applyBorder="1"/>
    <xf numFmtId="0" fontId="46" fillId="0" borderId="0" xfId="0" applyFont="1"/>
    <xf numFmtId="0" fontId="47" fillId="0" borderId="0" xfId="0" applyFont="1"/>
    <xf numFmtId="0" fontId="0" fillId="0" borderId="24" xfId="0" applyBorder="1"/>
    <xf numFmtId="0" fontId="28" fillId="0" borderId="0" xfId="0" applyFont="1"/>
    <xf numFmtId="0" fontId="49" fillId="0" borderId="0" xfId="0" applyFont="1" applyAlignment="1">
      <alignment horizontal="left"/>
    </xf>
    <xf numFmtId="0" fontId="54" fillId="0" borderId="0" xfId="0" applyFont="1" applyAlignment="1">
      <alignment horizontal="left"/>
    </xf>
    <xf numFmtId="0" fontId="0" fillId="0" borderId="0" xfId="0" applyAlignment="1">
      <alignment horizontal="left"/>
    </xf>
    <xf numFmtId="0" fontId="51" fillId="0" borderId="22" xfId="0" applyFont="1" applyBorder="1"/>
    <xf numFmtId="0" fontId="4" fillId="0" borderId="0" xfId="0" applyFont="1" applyProtection="1">
      <protection locked="0"/>
    </xf>
    <xf numFmtId="0" fontId="5" fillId="3" borderId="0" xfId="0" applyFont="1" applyFill="1" applyAlignment="1" applyProtection="1">
      <alignment horizontal="center" vertical="center"/>
      <protection locked="0"/>
    </xf>
    <xf numFmtId="0" fontId="4" fillId="5" borderId="2" xfId="0" applyFont="1" applyFill="1" applyBorder="1" applyAlignment="1" applyProtection="1">
      <alignment vertical="center"/>
      <protection locked="0"/>
    </xf>
    <xf numFmtId="0" fontId="4" fillId="4" borderId="0" xfId="0" applyFont="1" applyFill="1" applyAlignment="1" applyProtection="1">
      <alignment horizontal="left" vertical="center"/>
      <protection locked="0"/>
    </xf>
    <xf numFmtId="164" fontId="21" fillId="6" borderId="0" xfId="0" applyNumberFormat="1" applyFont="1" applyFill="1" applyAlignment="1" applyProtection="1">
      <alignment horizontal="right" vertical="center"/>
      <protection locked="0"/>
    </xf>
    <xf numFmtId="164" fontId="21" fillId="7" borderId="0" xfId="0" applyNumberFormat="1" applyFont="1" applyFill="1" applyAlignment="1" applyProtection="1">
      <alignment horizontal="right" vertical="center"/>
      <protection locked="0"/>
    </xf>
    <xf numFmtId="173" fontId="21" fillId="6" borderId="0" xfId="0" applyNumberFormat="1" applyFont="1" applyFill="1" applyAlignment="1" applyProtection="1">
      <alignment horizontal="right" vertical="center"/>
      <protection locked="0"/>
    </xf>
    <xf numFmtId="173" fontId="21" fillId="7" borderId="0" xfId="0" applyNumberFormat="1" applyFont="1" applyFill="1" applyAlignment="1" applyProtection="1">
      <alignment horizontal="right" vertical="center"/>
      <protection locked="0"/>
    </xf>
    <xf numFmtId="0" fontId="4" fillId="7" borderId="0" xfId="0" applyFont="1" applyFill="1" applyAlignment="1" applyProtection="1">
      <alignment horizontal="left" vertical="center"/>
      <protection locked="0"/>
    </xf>
    <xf numFmtId="0" fontId="3" fillId="7" borderId="0" xfId="0" applyFont="1" applyFill="1" applyAlignment="1" applyProtection="1">
      <alignment horizontal="left" vertical="center" indent="2"/>
      <protection locked="0"/>
    </xf>
    <xf numFmtId="0" fontId="4" fillId="7" borderId="0" xfId="0" applyFont="1" applyFill="1" applyAlignment="1" applyProtection="1">
      <alignment horizontal="left" vertical="center" indent="2"/>
      <protection locked="0"/>
    </xf>
    <xf numFmtId="173" fontId="20" fillId="0" borderId="0" xfId="0" applyNumberFormat="1" applyFont="1" applyProtection="1">
      <protection locked="0"/>
    </xf>
    <xf numFmtId="173" fontId="30" fillId="6" borderId="0" xfId="0" applyNumberFormat="1" applyFont="1" applyFill="1" applyAlignment="1" applyProtection="1">
      <alignment horizontal="right" vertical="center"/>
      <protection locked="0"/>
    </xf>
    <xf numFmtId="4" fontId="21" fillId="7" borderId="0" xfId="0" applyNumberFormat="1" applyFont="1" applyFill="1" applyAlignment="1" applyProtection="1">
      <alignment horizontal="right" vertical="center"/>
      <protection locked="0"/>
    </xf>
    <xf numFmtId="0" fontId="3" fillId="7" borderId="0" xfId="0" applyFont="1" applyFill="1" applyAlignment="1" applyProtection="1">
      <alignment horizontal="left" vertical="center"/>
      <protection locked="0"/>
    </xf>
    <xf numFmtId="2" fontId="21" fillId="7" borderId="0" xfId="0" applyNumberFormat="1" applyFont="1" applyFill="1" applyAlignment="1" applyProtection="1">
      <alignment horizontal="right" vertical="center"/>
      <protection locked="0"/>
    </xf>
    <xf numFmtId="166" fontId="21" fillId="7" borderId="0" xfId="0" applyNumberFormat="1" applyFont="1" applyFill="1" applyAlignment="1" applyProtection="1">
      <alignment horizontal="right" vertical="center"/>
      <protection locked="0"/>
    </xf>
    <xf numFmtId="3" fontId="21" fillId="7" borderId="0" xfId="0" applyNumberFormat="1" applyFont="1" applyFill="1" applyAlignment="1" applyProtection="1">
      <alignment horizontal="right" vertical="center"/>
      <protection locked="0"/>
    </xf>
    <xf numFmtId="170" fontId="21" fillId="7" borderId="0" xfId="0" applyNumberFormat="1" applyFont="1" applyFill="1" applyAlignment="1" applyProtection="1">
      <alignment horizontal="right" vertical="center"/>
      <protection locked="0"/>
    </xf>
    <xf numFmtId="173" fontId="24" fillId="7" borderId="0" xfId="0" applyNumberFormat="1" applyFont="1" applyFill="1" applyAlignment="1">
      <alignment horizontal="right" vertical="center"/>
    </xf>
    <xf numFmtId="173" fontId="22" fillId="7" borderId="0" xfId="0" applyNumberFormat="1" applyFont="1" applyFill="1" applyAlignment="1">
      <alignment horizontal="right" vertical="center"/>
    </xf>
    <xf numFmtId="164" fontId="22" fillId="7" borderId="0" xfId="0" applyNumberFormat="1" applyFont="1" applyFill="1" applyAlignment="1">
      <alignment horizontal="right" vertical="center"/>
    </xf>
    <xf numFmtId="4" fontId="22" fillId="7" borderId="0" xfId="0" applyNumberFormat="1" applyFont="1" applyFill="1" applyAlignment="1">
      <alignment horizontal="right" vertical="center"/>
    </xf>
    <xf numFmtId="173" fontId="1" fillId="0" borderId="0" xfId="0" applyNumberFormat="1" applyFont="1"/>
    <xf numFmtId="173" fontId="19" fillId="13" borderId="0" xfId="0" applyNumberFormat="1" applyFont="1" applyFill="1"/>
    <xf numFmtId="0" fontId="3" fillId="4" borderId="0" xfId="0" applyFont="1" applyFill="1" applyAlignment="1" applyProtection="1">
      <alignment horizontal="center" vertical="center"/>
      <protection locked="0"/>
    </xf>
    <xf numFmtId="0" fontId="4" fillId="5" borderId="0" xfId="0" applyFont="1" applyFill="1" applyAlignment="1" applyProtection="1">
      <alignment horizontal="left" vertical="center"/>
      <protection locked="0"/>
    </xf>
    <xf numFmtId="0" fontId="4" fillId="34" borderId="0" xfId="0" applyFont="1" applyFill="1" applyAlignment="1" applyProtection="1">
      <alignment horizontal="left" vertical="center"/>
      <protection locked="0"/>
    </xf>
    <xf numFmtId="0" fontId="0" fillId="0" borderId="0" xfId="0" applyAlignment="1" applyProtection="1">
      <alignment horizontal="right" vertical="center"/>
      <protection locked="0"/>
    </xf>
    <xf numFmtId="173" fontId="20" fillId="33" borderId="0" xfId="0" applyNumberFormat="1" applyFont="1" applyFill="1" applyAlignment="1" applyProtection="1">
      <alignment horizontal="right" vertical="center"/>
      <protection locked="0"/>
    </xf>
    <xf numFmtId="173" fontId="20" fillId="7" borderId="0" xfId="0" applyNumberFormat="1" applyFont="1" applyFill="1" applyAlignment="1" applyProtection="1">
      <alignment horizontal="right" vertical="center"/>
      <protection locked="0"/>
    </xf>
    <xf numFmtId="173" fontId="3" fillId="33" borderId="0" xfId="0" applyNumberFormat="1" applyFont="1" applyFill="1" applyAlignment="1" applyProtection="1">
      <alignment horizontal="right" vertical="center"/>
      <protection locked="0"/>
    </xf>
    <xf numFmtId="173" fontId="29" fillId="7" borderId="0" xfId="0" applyNumberFormat="1" applyFont="1" applyFill="1" applyAlignment="1">
      <alignment horizontal="right" vertical="center"/>
    </xf>
    <xf numFmtId="164" fontId="28" fillId="7" borderId="0" xfId="0" applyNumberFormat="1" applyFont="1" applyFill="1" applyAlignment="1">
      <alignment horizontal="right" vertical="center"/>
    </xf>
    <xf numFmtId="173" fontId="28" fillId="7" borderId="0" xfId="0" applyNumberFormat="1" applyFont="1" applyFill="1" applyAlignment="1">
      <alignment horizontal="right" vertical="center"/>
    </xf>
    <xf numFmtId="173" fontId="29" fillId="34" borderId="0" xfId="0" applyNumberFormat="1" applyFont="1" applyFill="1" applyAlignment="1">
      <alignment horizontal="right" vertical="center"/>
    </xf>
    <xf numFmtId="173" fontId="29" fillId="4" borderId="0" xfId="0" applyNumberFormat="1" applyFont="1" applyFill="1" applyAlignment="1">
      <alignment horizontal="right" vertical="center"/>
    </xf>
    <xf numFmtId="173" fontId="20" fillId="6" borderId="0" xfId="0" applyNumberFormat="1" applyFont="1" applyFill="1" applyAlignment="1" applyProtection="1">
      <alignment horizontal="right" vertical="center"/>
      <protection locked="0"/>
    </xf>
    <xf numFmtId="173" fontId="6" fillId="7" borderId="0" xfId="0" applyNumberFormat="1" applyFont="1" applyFill="1" applyAlignment="1" applyProtection="1">
      <alignment horizontal="right" vertical="center"/>
      <protection locked="0"/>
    </xf>
    <xf numFmtId="174" fontId="3" fillId="6" borderId="0" xfId="0" applyNumberFormat="1" applyFont="1" applyFill="1" applyAlignment="1" applyProtection="1">
      <alignment horizontal="right" vertical="center"/>
      <protection locked="0"/>
    </xf>
    <xf numFmtId="0" fontId="4" fillId="5" borderId="2" xfId="0" applyFont="1" applyFill="1" applyBorder="1" applyAlignment="1" applyProtection="1">
      <alignment horizontal="left" vertical="center"/>
      <protection locked="0"/>
    </xf>
    <xf numFmtId="173" fontId="3" fillId="6" borderId="0" xfId="0" applyNumberFormat="1" applyFont="1" applyFill="1" applyAlignment="1" applyProtection="1">
      <alignment horizontal="right" vertical="center"/>
      <protection locked="0"/>
    </xf>
    <xf numFmtId="174" fontId="28" fillId="7" borderId="0" xfId="0" applyNumberFormat="1" applyFont="1" applyFill="1" applyAlignment="1">
      <alignment horizontal="right" vertical="center"/>
    </xf>
    <xf numFmtId="0" fontId="5" fillId="3" borderId="26" xfId="0" applyFont="1" applyFill="1" applyBorder="1" applyAlignment="1" applyProtection="1">
      <alignment horizontal="center" vertical="center" wrapText="1"/>
      <protection locked="0"/>
    </xf>
    <xf numFmtId="0" fontId="3" fillId="7" borderId="0" xfId="0" applyFont="1" applyFill="1" applyAlignment="1" applyProtection="1">
      <alignment horizontal="left" vertical="center" indent="1"/>
      <protection locked="0"/>
    </xf>
    <xf numFmtId="49" fontId="15" fillId="7" borderId="26" xfId="0" applyNumberFormat="1" applyFont="1" applyFill="1" applyBorder="1" applyAlignment="1" applyProtection="1">
      <alignment horizontal="left" vertical="center"/>
      <protection locked="0"/>
    </xf>
    <xf numFmtId="49" fontId="13" fillId="3" borderId="26" xfId="0" applyNumberFormat="1" applyFont="1" applyFill="1" applyBorder="1" applyAlignment="1" applyProtection="1">
      <alignment horizontal="center" vertical="center" wrapText="1"/>
      <protection locked="0"/>
    </xf>
    <xf numFmtId="49" fontId="15" fillId="7" borderId="0" xfId="0" applyNumberFormat="1" applyFont="1" applyFill="1" applyAlignment="1" applyProtection="1">
      <alignment horizontal="left" vertical="center" indent="1"/>
      <protection locked="0"/>
    </xf>
    <xf numFmtId="49" fontId="14" fillId="4" borderId="0" xfId="0" applyNumberFormat="1" applyFont="1" applyFill="1" applyAlignment="1" applyProtection="1">
      <alignment horizontal="left" vertical="center"/>
      <protection locked="0"/>
    </xf>
    <xf numFmtId="49" fontId="27" fillId="3" borderId="26" xfId="0" applyNumberFormat="1" applyFont="1" applyFill="1" applyBorder="1" applyAlignment="1" applyProtection="1">
      <alignment horizontal="center" vertical="center" wrapText="1"/>
      <protection locked="0"/>
    </xf>
    <xf numFmtId="173" fontId="13" fillId="2" borderId="0" xfId="0" applyNumberFormat="1" applyFont="1" applyFill="1" applyAlignment="1" applyProtection="1">
      <alignment horizontal="left" vertical="center"/>
      <protection locked="0"/>
    </xf>
    <xf numFmtId="0" fontId="22" fillId="0" borderId="12" xfId="0" applyFont="1" applyBorder="1" applyProtection="1">
      <protection locked="0"/>
    </xf>
    <xf numFmtId="169" fontId="21" fillId="0" borderId="12" xfId="0" applyNumberFormat="1" applyFont="1" applyBorder="1" applyProtection="1">
      <protection locked="0"/>
    </xf>
    <xf numFmtId="0" fontId="22" fillId="0" borderId="0" xfId="0" applyFont="1" applyProtection="1">
      <protection locked="0"/>
    </xf>
    <xf numFmtId="173" fontId="22" fillId="0" borderId="0" xfId="0" applyNumberFormat="1" applyFont="1" applyProtection="1">
      <protection locked="0"/>
    </xf>
    <xf numFmtId="173" fontId="0" fillId="0" borderId="0" xfId="0" applyNumberFormat="1" applyProtection="1">
      <protection locked="0"/>
    </xf>
    <xf numFmtId="175" fontId="21" fillId="0" borderId="12" xfId="0" applyNumberFormat="1" applyFont="1" applyBorder="1" applyProtection="1">
      <protection locked="0"/>
    </xf>
    <xf numFmtId="0" fontId="27" fillId="23" borderId="12" xfId="0" applyFont="1" applyFill="1" applyBorder="1" applyProtection="1">
      <protection locked="0"/>
    </xf>
    <xf numFmtId="173" fontId="4" fillId="4" borderId="0" xfId="0" applyNumberFormat="1" applyFont="1" applyFill="1" applyAlignment="1">
      <alignment horizontal="right" vertical="center"/>
    </xf>
    <xf numFmtId="173" fontId="4" fillId="5" borderId="0" xfId="0" applyNumberFormat="1" applyFont="1" applyFill="1" applyAlignment="1">
      <alignment horizontal="right" vertical="center"/>
    </xf>
    <xf numFmtId="173" fontId="14" fillId="4" borderId="0" xfId="0" applyNumberFormat="1" applyFont="1" applyFill="1" applyAlignment="1">
      <alignment horizontal="right" vertical="center"/>
    </xf>
    <xf numFmtId="173" fontId="13" fillId="2" borderId="0" xfId="0" applyNumberFormat="1" applyFont="1" applyFill="1" applyAlignment="1">
      <alignment horizontal="right" vertical="center"/>
    </xf>
    <xf numFmtId="173" fontId="22" fillId="0" borderId="12" xfId="0" applyNumberFormat="1" applyFont="1" applyBorder="1"/>
    <xf numFmtId="169" fontId="22" fillId="0" borderId="12" xfId="0" applyNumberFormat="1" applyFont="1" applyBorder="1"/>
    <xf numFmtId="173" fontId="27" fillId="23" borderId="12" xfId="0" applyNumberFormat="1" applyFont="1" applyFill="1" applyBorder="1"/>
    <xf numFmtId="0" fontId="7" fillId="0" borderId="0" xfId="0" applyFont="1" applyAlignment="1" applyProtection="1">
      <alignment horizontal="left" vertical="center" wrapText="1"/>
      <protection locked="0"/>
    </xf>
    <xf numFmtId="169" fontId="0" fillId="0" borderId="0" xfId="0" applyNumberFormat="1" applyProtection="1">
      <protection locked="0"/>
    </xf>
    <xf numFmtId="0" fontId="11" fillId="2" borderId="0" xfId="0" applyFont="1" applyFill="1" applyAlignment="1" applyProtection="1">
      <alignment horizontal="left" vertical="center"/>
      <protection locked="0"/>
    </xf>
    <xf numFmtId="10" fontId="0" fillId="0" borderId="0" xfId="0" applyNumberFormat="1" applyProtection="1">
      <protection locked="0"/>
    </xf>
    <xf numFmtId="49" fontId="5" fillId="3" borderId="26" xfId="0" applyNumberFormat="1" applyFont="1" applyFill="1" applyBorder="1" applyAlignment="1" applyProtection="1">
      <alignment horizontal="center" vertical="center"/>
      <protection locked="0"/>
    </xf>
    <xf numFmtId="49" fontId="11" fillId="2" borderId="0" xfId="0" applyNumberFormat="1" applyFont="1" applyFill="1" applyAlignment="1" applyProtection="1">
      <alignment horizontal="left" vertical="center"/>
      <protection locked="0"/>
    </xf>
    <xf numFmtId="49" fontId="5" fillId="8" borderId="0" xfId="0" applyNumberFormat="1" applyFont="1" applyFill="1" applyAlignment="1" applyProtection="1">
      <alignment horizontal="left" vertical="center"/>
      <protection locked="0"/>
    </xf>
    <xf numFmtId="9" fontId="0" fillId="0" borderId="0" xfId="0" applyNumberFormat="1" applyProtection="1">
      <protection locked="0"/>
    </xf>
    <xf numFmtId="2" fontId="3" fillId="7" borderId="0" xfId="0" applyNumberFormat="1" applyFont="1" applyFill="1" applyAlignment="1">
      <alignment horizontal="right" vertical="center"/>
    </xf>
    <xf numFmtId="173" fontId="3" fillId="7" borderId="0" xfId="0" applyNumberFormat="1" applyFont="1" applyFill="1" applyAlignment="1">
      <alignment horizontal="right" vertical="center"/>
    </xf>
    <xf numFmtId="166" fontId="3" fillId="7" borderId="0" xfId="0" applyNumberFormat="1" applyFont="1" applyFill="1" applyAlignment="1">
      <alignment horizontal="right" vertical="center"/>
    </xf>
    <xf numFmtId="167" fontId="3" fillId="7" borderId="0" xfId="0" applyNumberFormat="1" applyFont="1" applyFill="1" applyAlignment="1">
      <alignment horizontal="right" vertical="center"/>
    </xf>
    <xf numFmtId="167" fontId="14" fillId="14" borderId="0" xfId="0" applyNumberFormat="1" applyFont="1" applyFill="1" applyAlignment="1">
      <alignment horizontal="right" vertical="center"/>
    </xf>
    <xf numFmtId="165" fontId="13" fillId="2" borderId="0" xfId="0" applyNumberFormat="1" applyFont="1" applyFill="1" applyAlignment="1">
      <alignment horizontal="right" vertical="center"/>
    </xf>
    <xf numFmtId="165" fontId="11" fillId="2" borderId="0" xfId="0" applyNumberFormat="1" applyFont="1" applyFill="1" applyAlignment="1">
      <alignment horizontal="right" vertical="center"/>
    </xf>
    <xf numFmtId="173" fontId="14" fillId="9" borderId="0" xfId="0" applyNumberFormat="1" applyFont="1" applyFill="1" applyAlignment="1">
      <alignment horizontal="right" vertical="center"/>
    </xf>
    <xf numFmtId="165" fontId="3" fillId="7" borderId="0" xfId="0" applyNumberFormat="1" applyFont="1" applyFill="1" applyAlignment="1">
      <alignment horizontal="right" vertical="center"/>
    </xf>
    <xf numFmtId="4" fontId="3" fillId="7" borderId="0" xfId="0" applyNumberFormat="1" applyFont="1" applyFill="1" applyAlignment="1">
      <alignment horizontal="right" vertical="center"/>
    </xf>
    <xf numFmtId="3" fontId="3" fillId="7" borderId="0" xfId="0" applyNumberFormat="1" applyFont="1" applyFill="1" applyAlignment="1">
      <alignment horizontal="right" vertical="center"/>
    </xf>
    <xf numFmtId="4" fontId="4" fillId="4" borderId="0" xfId="0" applyNumberFormat="1" applyFont="1" applyFill="1" applyAlignment="1">
      <alignment horizontal="right" vertical="center"/>
    </xf>
    <xf numFmtId="173" fontId="11" fillId="2" borderId="3" xfId="0" applyNumberFormat="1" applyFont="1" applyFill="1" applyBorder="1" applyAlignment="1">
      <alignment horizontal="right" vertical="center"/>
    </xf>
    <xf numFmtId="173" fontId="3" fillId="0" borderId="28" xfId="0" applyNumberFormat="1" applyFont="1" applyBorder="1" applyAlignment="1">
      <alignment horizontal="right" vertical="center"/>
    </xf>
    <xf numFmtId="49" fontId="3" fillId="7" borderId="27" xfId="0" applyNumberFormat="1" applyFont="1" applyFill="1" applyBorder="1" applyAlignment="1" applyProtection="1">
      <alignment horizontal="left" vertical="center"/>
      <protection locked="0"/>
    </xf>
    <xf numFmtId="173" fontId="28" fillId="7" borderId="27" xfId="0" applyNumberFormat="1" applyFont="1" applyFill="1" applyBorder="1" applyAlignment="1">
      <alignment horizontal="right" vertical="center"/>
    </xf>
    <xf numFmtId="173" fontId="3" fillId="0" borderId="29" xfId="0" applyNumberFormat="1" applyFont="1" applyBorder="1" applyAlignment="1">
      <alignment horizontal="right" vertical="center"/>
    </xf>
    <xf numFmtId="49" fontId="3" fillId="7" borderId="12" xfId="0" applyNumberFormat="1" applyFont="1" applyFill="1" applyBorder="1" applyAlignment="1" applyProtection="1">
      <alignment horizontal="left" vertical="center"/>
      <protection locked="0"/>
    </xf>
    <xf numFmtId="173" fontId="22" fillId="7" borderId="12" xfId="0" applyNumberFormat="1" applyFont="1" applyFill="1" applyBorder="1" applyAlignment="1">
      <alignment horizontal="right" vertical="center"/>
    </xf>
    <xf numFmtId="173" fontId="3" fillId="7" borderId="12" xfId="0" applyNumberFormat="1" applyFont="1" applyFill="1" applyBorder="1" applyAlignment="1" applyProtection="1">
      <alignment horizontal="right" vertical="center"/>
      <protection locked="0"/>
    </xf>
    <xf numFmtId="173" fontId="3" fillId="0" borderId="30" xfId="0" applyNumberFormat="1" applyFont="1" applyBorder="1" applyAlignment="1">
      <alignment horizontal="right" vertical="center"/>
    </xf>
    <xf numFmtId="49" fontId="12" fillId="7" borderId="31" xfId="0" applyNumberFormat="1" applyFont="1" applyFill="1" applyBorder="1" applyAlignment="1" applyProtection="1">
      <alignment horizontal="center" vertical="center"/>
      <protection locked="0"/>
    </xf>
    <xf numFmtId="173" fontId="12" fillId="7" borderId="31" xfId="0" applyNumberFormat="1" applyFont="1" applyFill="1" applyBorder="1" applyAlignment="1" applyProtection="1">
      <alignment horizontal="right" vertical="center"/>
      <protection locked="0"/>
    </xf>
    <xf numFmtId="0" fontId="5" fillId="3" borderId="26" xfId="0" applyFont="1" applyFill="1" applyBorder="1" applyAlignment="1" applyProtection="1">
      <alignment horizontal="center" vertical="center"/>
      <protection locked="0"/>
    </xf>
    <xf numFmtId="173" fontId="10" fillId="7" borderId="0" xfId="0" applyNumberFormat="1" applyFont="1" applyFill="1" applyAlignment="1" applyProtection="1">
      <alignment horizontal="right" vertical="center"/>
      <protection locked="0"/>
    </xf>
    <xf numFmtId="170" fontId="0" fillId="0" borderId="0" xfId="0" applyNumberFormat="1" applyAlignment="1" applyProtection="1">
      <alignment horizontal="right" vertical="center"/>
      <protection locked="0"/>
    </xf>
    <xf numFmtId="173" fontId="15" fillId="7" borderId="0" xfId="0" applyNumberFormat="1" applyFont="1" applyFill="1" applyAlignment="1" applyProtection="1">
      <alignment horizontal="right" vertical="center"/>
      <protection locked="0"/>
    </xf>
    <xf numFmtId="170" fontId="0" fillId="0" borderId="0" xfId="0" applyNumberFormat="1" applyProtection="1">
      <protection locked="0"/>
    </xf>
    <xf numFmtId="0" fontId="11" fillId="2" borderId="15" xfId="0" applyFont="1" applyFill="1" applyBorder="1" applyAlignment="1" applyProtection="1">
      <alignment horizontal="left" vertical="center"/>
      <protection locked="0"/>
    </xf>
    <xf numFmtId="0" fontId="11" fillId="2" borderId="0" xfId="0" applyFont="1" applyFill="1" applyAlignment="1" applyProtection="1">
      <alignment vertical="center"/>
      <protection locked="0"/>
    </xf>
    <xf numFmtId="0" fontId="19" fillId="15" borderId="0" xfId="0" applyFont="1" applyFill="1" applyProtection="1">
      <protection locked="0"/>
    </xf>
    <xf numFmtId="173" fontId="24" fillId="4" borderId="0" xfId="0" applyNumberFormat="1" applyFont="1" applyFill="1" applyAlignment="1">
      <alignment horizontal="right" vertical="center"/>
    </xf>
    <xf numFmtId="170" fontId="22" fillId="7" borderId="0" xfId="0" applyNumberFormat="1" applyFont="1" applyFill="1" applyAlignment="1">
      <alignment horizontal="right" vertical="center"/>
    </xf>
    <xf numFmtId="173" fontId="19" fillId="15" borderId="0" xfId="0" applyNumberFormat="1" applyFont="1" applyFill="1"/>
    <xf numFmtId="172" fontId="19" fillId="15" borderId="0" xfId="0" applyNumberFormat="1" applyFont="1" applyFill="1"/>
    <xf numFmtId="171" fontId="11" fillId="2" borderId="0" xfId="0" applyNumberFormat="1" applyFont="1" applyFill="1" applyAlignment="1">
      <alignment horizontal="right" vertical="center"/>
    </xf>
    <xf numFmtId="0" fontId="42" fillId="5" borderId="0" xfId="0" applyFont="1" applyFill="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0" xfId="0" applyFont="1" applyFill="1" applyAlignment="1" applyProtection="1">
      <alignment horizontal="right" vertical="center"/>
      <protection locked="0"/>
    </xf>
    <xf numFmtId="0" fontId="15" fillId="7" borderId="27" xfId="0" applyFont="1" applyFill="1" applyBorder="1" applyAlignment="1" applyProtection="1">
      <alignment vertical="center"/>
      <protection locked="0"/>
    </xf>
    <xf numFmtId="164" fontId="39" fillId="7" borderId="27" xfId="0" applyNumberFormat="1" applyFont="1" applyFill="1" applyBorder="1" applyAlignment="1" applyProtection="1">
      <alignment horizontal="right" vertical="center"/>
      <protection locked="0"/>
    </xf>
    <xf numFmtId="0" fontId="15" fillId="7" borderId="12" xfId="0" applyFont="1" applyFill="1" applyBorder="1" applyAlignment="1" applyProtection="1">
      <alignment vertical="center"/>
      <protection locked="0"/>
    </xf>
    <xf numFmtId="164" fontId="39" fillId="7" borderId="12" xfId="0" applyNumberFormat="1" applyFont="1" applyFill="1" applyBorder="1" applyAlignment="1" applyProtection="1">
      <alignment horizontal="right" vertical="center"/>
      <protection locked="0"/>
    </xf>
    <xf numFmtId="4" fontId="39" fillId="7" borderId="12" xfId="0" applyNumberFormat="1" applyFont="1" applyFill="1" applyBorder="1" applyAlignment="1" applyProtection="1">
      <alignment horizontal="right" vertical="center"/>
      <protection locked="0"/>
    </xf>
    <xf numFmtId="0" fontId="14" fillId="4" borderId="12" xfId="0" applyFont="1" applyFill="1" applyBorder="1" applyAlignment="1" applyProtection="1">
      <alignment vertical="center"/>
      <protection locked="0"/>
    </xf>
    <xf numFmtId="49" fontId="14" fillId="12" borderId="2" xfId="0" applyNumberFormat="1" applyFont="1" applyFill="1" applyBorder="1" applyAlignment="1" applyProtection="1">
      <alignment vertical="center"/>
      <protection locked="0"/>
    </xf>
    <xf numFmtId="49" fontId="13" fillId="3" borderId="2" xfId="0" applyNumberFormat="1" applyFont="1" applyFill="1" applyBorder="1" applyAlignment="1" applyProtection="1">
      <alignment horizontal="center" vertical="center"/>
      <protection locked="0"/>
    </xf>
    <xf numFmtId="0" fontId="15" fillId="7" borderId="0" xfId="0" applyFont="1" applyFill="1" applyAlignment="1" applyProtection="1">
      <alignment vertical="center"/>
      <protection locked="0"/>
    </xf>
    <xf numFmtId="0" fontId="14" fillId="4" borderId="2" xfId="0" applyFont="1" applyFill="1" applyBorder="1" applyAlignment="1" applyProtection="1">
      <alignment vertical="center"/>
      <protection locked="0"/>
    </xf>
    <xf numFmtId="168" fontId="8" fillId="7" borderId="0" xfId="0" applyNumberFormat="1" applyFont="1" applyFill="1" applyAlignment="1" applyProtection="1">
      <alignment horizontal="right" vertical="center"/>
      <protection locked="0"/>
    </xf>
    <xf numFmtId="0" fontId="15" fillId="26" borderId="0" xfId="0" applyFont="1" applyFill="1" applyAlignment="1" applyProtection="1">
      <alignment vertical="center"/>
      <protection locked="0"/>
    </xf>
    <xf numFmtId="1" fontId="22" fillId="0" borderId="0" xfId="0" applyNumberFormat="1" applyFont="1" applyProtection="1">
      <protection locked="0"/>
    </xf>
    <xf numFmtId="0" fontId="27" fillId="24" borderId="2" xfId="0" applyFont="1" applyFill="1" applyBorder="1" applyAlignment="1" applyProtection="1">
      <alignment vertical="center"/>
      <protection locked="0"/>
    </xf>
    <xf numFmtId="0" fontId="27" fillId="25" borderId="2" xfId="0" applyFont="1" applyFill="1" applyBorder="1" applyAlignment="1" applyProtection="1">
      <alignment horizontal="right"/>
      <protection locked="0"/>
    </xf>
    <xf numFmtId="0" fontId="15" fillId="27" borderId="4" xfId="0" applyFont="1" applyFill="1" applyBorder="1" applyAlignment="1" applyProtection="1">
      <alignment vertical="center"/>
      <protection locked="0"/>
    </xf>
    <xf numFmtId="0" fontId="14" fillId="7" borderId="2" xfId="0" applyFont="1" applyFill="1" applyBorder="1" applyAlignment="1" applyProtection="1">
      <alignment vertical="center"/>
      <protection locked="0"/>
    </xf>
    <xf numFmtId="0" fontId="22" fillId="0" borderId="2" xfId="0" applyFont="1" applyBorder="1" applyProtection="1">
      <protection locked="0"/>
    </xf>
    <xf numFmtId="0" fontId="14" fillId="4" borderId="0" xfId="0" applyFont="1" applyFill="1" applyAlignment="1" applyProtection="1">
      <alignment vertical="center"/>
      <protection locked="0"/>
    </xf>
    <xf numFmtId="0" fontId="14" fillId="7" borderId="0" xfId="0" applyFont="1" applyFill="1" applyAlignment="1" applyProtection="1">
      <alignment vertical="center"/>
      <protection locked="0"/>
    </xf>
    <xf numFmtId="0" fontId="14" fillId="26" borderId="4" xfId="0" applyFont="1" applyFill="1" applyBorder="1" applyAlignment="1" applyProtection="1">
      <alignment vertical="center"/>
      <protection locked="0"/>
    </xf>
    <xf numFmtId="170" fontId="14" fillId="7" borderId="0" xfId="0" applyNumberFormat="1" applyFont="1" applyFill="1" applyAlignment="1" applyProtection="1">
      <alignment vertical="center"/>
      <protection locked="0"/>
    </xf>
    <xf numFmtId="0" fontId="41" fillId="0" borderId="0" xfId="0" applyFont="1" applyProtection="1">
      <protection locked="0"/>
    </xf>
    <xf numFmtId="0" fontId="44" fillId="7" borderId="0" xfId="0" applyFont="1" applyFill="1" applyAlignment="1" applyProtection="1">
      <alignment horizontal="left" vertical="center"/>
      <protection locked="0"/>
    </xf>
    <xf numFmtId="0" fontId="27" fillId="29" borderId="0" xfId="0" applyFont="1" applyFill="1" applyAlignment="1" applyProtection="1">
      <alignment vertical="center"/>
      <protection locked="0"/>
    </xf>
    <xf numFmtId="170" fontId="27" fillId="29" borderId="0" xfId="0" applyNumberFormat="1" applyFont="1" applyFill="1" applyAlignment="1" applyProtection="1">
      <alignment vertical="center"/>
      <protection locked="0"/>
    </xf>
    <xf numFmtId="172" fontId="27" fillId="30" borderId="18" xfId="0" applyNumberFormat="1" applyFont="1" applyFill="1" applyBorder="1" applyProtection="1">
      <protection locked="0"/>
    </xf>
    <xf numFmtId="172" fontId="27" fillId="29" borderId="18" xfId="0" applyNumberFormat="1" applyFont="1" applyFill="1" applyBorder="1" applyAlignment="1" applyProtection="1">
      <alignment vertical="center"/>
      <protection locked="0"/>
    </xf>
    <xf numFmtId="170" fontId="41" fillId="0" borderId="0" xfId="0" applyNumberFormat="1" applyFont="1" applyProtection="1">
      <protection locked="0"/>
    </xf>
    <xf numFmtId="170" fontId="14" fillId="7" borderId="19" xfId="0" applyNumberFormat="1" applyFont="1" applyFill="1" applyBorder="1" applyAlignment="1" applyProtection="1">
      <alignment horizontal="center" vertical="center"/>
      <protection locked="0"/>
    </xf>
    <xf numFmtId="170" fontId="14" fillId="7" borderId="12" xfId="0" applyNumberFormat="1" applyFont="1" applyFill="1" applyBorder="1" applyAlignment="1" applyProtection="1">
      <alignment horizontal="center" vertical="center"/>
      <protection locked="0"/>
    </xf>
    <xf numFmtId="0" fontId="14" fillId="5" borderId="0" xfId="0" applyFont="1" applyFill="1" applyAlignment="1" applyProtection="1">
      <alignment horizontal="left" vertical="center"/>
      <protection locked="0"/>
    </xf>
    <xf numFmtId="0" fontId="14" fillId="7" borderId="16" xfId="0" applyFont="1" applyFill="1" applyBorder="1" applyAlignment="1" applyProtection="1">
      <alignment vertical="center"/>
      <protection locked="0"/>
    </xf>
    <xf numFmtId="0" fontId="24" fillId="0" borderId="16" xfId="0" applyFont="1" applyBorder="1" applyProtection="1">
      <protection locked="0"/>
    </xf>
    <xf numFmtId="167" fontId="21" fillId="7" borderId="0" xfId="0" applyNumberFormat="1" applyFont="1" applyFill="1" applyAlignment="1" applyProtection="1">
      <alignment horizontal="right" vertical="center"/>
      <protection locked="0"/>
    </xf>
    <xf numFmtId="0" fontId="15" fillId="7" borderId="0" xfId="0" applyFont="1" applyFill="1" applyAlignment="1" applyProtection="1">
      <alignment horizontal="left" vertical="center"/>
      <protection locked="0"/>
    </xf>
    <xf numFmtId="165" fontId="15" fillId="7" borderId="0" xfId="0" applyNumberFormat="1" applyFont="1" applyFill="1" applyAlignment="1" applyProtection="1">
      <alignment horizontal="right" vertical="center"/>
      <protection locked="0"/>
    </xf>
    <xf numFmtId="164" fontId="15" fillId="7" borderId="0" xfId="0" applyNumberFormat="1" applyFont="1" applyFill="1" applyAlignment="1" applyProtection="1">
      <alignment horizontal="right" vertical="center"/>
      <protection locked="0"/>
    </xf>
    <xf numFmtId="169" fontId="15" fillId="7" borderId="0" xfId="0" applyNumberFormat="1" applyFont="1" applyFill="1" applyAlignment="1" applyProtection="1">
      <alignment horizontal="right" vertical="center"/>
      <protection locked="0"/>
    </xf>
    <xf numFmtId="167" fontId="15" fillId="7" borderId="0" xfId="0" applyNumberFormat="1" applyFont="1" applyFill="1" applyAlignment="1" applyProtection="1">
      <alignment horizontal="right" vertical="center"/>
      <protection locked="0"/>
    </xf>
    <xf numFmtId="173" fontId="30" fillId="5" borderId="0" xfId="0" applyNumberFormat="1" applyFont="1" applyFill="1" applyAlignment="1" applyProtection="1">
      <alignment horizontal="right" vertical="center"/>
      <protection locked="0"/>
    </xf>
    <xf numFmtId="167" fontId="30" fillId="5" borderId="0" xfId="0" applyNumberFormat="1" applyFont="1" applyFill="1" applyAlignment="1" applyProtection="1">
      <alignment horizontal="right" vertical="center"/>
      <protection locked="0"/>
    </xf>
    <xf numFmtId="0" fontId="14" fillId="4" borderId="0" xfId="0" applyFont="1" applyFill="1" applyAlignment="1" applyProtection="1">
      <alignment horizontal="left" vertical="center"/>
      <protection locked="0"/>
    </xf>
    <xf numFmtId="0" fontId="14" fillId="5" borderId="2" xfId="0" applyFont="1" applyFill="1" applyBorder="1" applyAlignment="1" applyProtection="1">
      <alignment horizontal="left" vertical="center"/>
      <protection locked="0"/>
    </xf>
    <xf numFmtId="165" fontId="22" fillId="0" borderId="0" xfId="0" applyNumberFormat="1" applyFont="1" applyProtection="1">
      <protection locked="0"/>
    </xf>
    <xf numFmtId="3" fontId="15" fillId="7" borderId="0" xfId="0" applyNumberFormat="1" applyFont="1" applyFill="1" applyAlignment="1" applyProtection="1">
      <alignment horizontal="right" vertical="center"/>
      <protection locked="0"/>
    </xf>
    <xf numFmtId="173" fontId="27" fillId="29" borderId="21" xfId="0" applyNumberFormat="1" applyFont="1" applyFill="1" applyBorder="1" applyAlignment="1" applyProtection="1">
      <alignment horizontal="right" vertical="center"/>
      <protection locked="0"/>
    </xf>
    <xf numFmtId="173" fontId="27" fillId="30" borderId="21" xfId="0" applyNumberFormat="1" applyFont="1" applyFill="1" applyBorder="1" applyProtection="1">
      <protection locked="0"/>
    </xf>
    <xf numFmtId="172" fontId="14" fillId="7" borderId="12" xfId="0" applyNumberFormat="1" applyFont="1" applyFill="1" applyBorder="1" applyAlignment="1" applyProtection="1">
      <alignment horizontal="center" vertical="center"/>
      <protection locked="0"/>
    </xf>
    <xf numFmtId="0" fontId="22" fillId="21" borderId="0" xfId="0" applyFont="1" applyFill="1" applyProtection="1">
      <protection locked="0"/>
    </xf>
    <xf numFmtId="0" fontId="42" fillId="32" borderId="0" xfId="0" applyFont="1" applyFill="1" applyAlignment="1" applyProtection="1">
      <alignment horizontal="left" vertical="center"/>
      <protection locked="0"/>
    </xf>
    <xf numFmtId="0" fontId="13" fillId="3" borderId="1" xfId="0" applyFont="1" applyFill="1" applyBorder="1" applyAlignment="1" applyProtection="1">
      <alignment horizontal="center" vertical="center" wrapText="1"/>
      <protection locked="0"/>
    </xf>
    <xf numFmtId="0" fontId="27" fillId="3" borderId="1" xfId="0" applyFont="1" applyFill="1" applyBorder="1" applyAlignment="1" applyProtection="1">
      <alignment horizontal="center" vertical="center" wrapText="1"/>
      <protection locked="0"/>
    </xf>
    <xf numFmtId="49" fontId="21" fillId="7" borderId="0" xfId="0" applyNumberFormat="1" applyFont="1" applyFill="1" applyAlignment="1" applyProtection="1">
      <alignment horizontal="right" vertical="center"/>
      <protection locked="0"/>
    </xf>
    <xf numFmtId="49" fontId="8" fillId="7" borderId="0" xfId="0" applyNumberFormat="1" applyFont="1" applyFill="1" applyAlignment="1" applyProtection="1">
      <alignment horizontal="right" vertical="center"/>
      <protection locked="0"/>
    </xf>
    <xf numFmtId="165" fontId="8" fillId="7" borderId="0" xfId="0" applyNumberFormat="1" applyFont="1" applyFill="1" applyAlignment="1" applyProtection="1">
      <alignment horizontal="right" vertical="center"/>
      <protection locked="0"/>
    </xf>
    <xf numFmtId="167" fontId="8" fillId="7" borderId="0" xfId="0" applyNumberFormat="1" applyFont="1" applyFill="1" applyAlignment="1" applyProtection="1">
      <alignment horizontal="right" vertical="center"/>
      <protection locked="0"/>
    </xf>
    <xf numFmtId="164" fontId="8" fillId="7" borderId="0" xfId="0" applyNumberFormat="1" applyFont="1" applyFill="1" applyAlignment="1" applyProtection="1">
      <alignment horizontal="right" vertical="center"/>
      <protection locked="0"/>
    </xf>
    <xf numFmtId="0" fontId="21" fillId="19" borderId="0" xfId="0" applyFont="1" applyFill="1" applyAlignment="1" applyProtection="1">
      <alignment horizontal="right"/>
      <protection locked="0"/>
    </xf>
    <xf numFmtId="49" fontId="21" fillId="20" borderId="0" xfId="0" applyNumberFormat="1" applyFont="1" applyFill="1" applyAlignment="1" applyProtection="1">
      <alignment horizontal="right" vertical="center"/>
      <protection locked="0"/>
    </xf>
    <xf numFmtId="167" fontId="30" fillId="4" borderId="0" xfId="0" applyNumberFormat="1" applyFont="1" applyFill="1" applyAlignment="1" applyProtection="1">
      <alignment horizontal="right" vertical="center"/>
      <protection locked="0"/>
    </xf>
    <xf numFmtId="164" fontId="30" fillId="4" borderId="0" xfId="0" applyNumberFormat="1" applyFont="1" applyFill="1" applyAlignment="1" applyProtection="1">
      <alignment horizontal="right" vertical="center"/>
      <protection locked="0"/>
    </xf>
    <xf numFmtId="9" fontId="27" fillId="30" borderId="13" xfId="1" applyFont="1" applyFill="1" applyBorder="1" applyAlignment="1" applyProtection="1">
      <alignment wrapText="1"/>
      <protection locked="0"/>
    </xf>
    <xf numFmtId="172" fontId="24" fillId="0" borderId="12" xfId="0" applyNumberFormat="1" applyFont="1" applyBorder="1" applyAlignment="1" applyProtection="1">
      <alignment horizontal="center" wrapText="1"/>
      <protection locked="0"/>
    </xf>
    <xf numFmtId="9" fontId="41" fillId="21" borderId="0" xfId="0" applyNumberFormat="1" applyFont="1" applyFill="1" applyProtection="1">
      <protection locked="0"/>
    </xf>
    <xf numFmtId="0" fontId="41" fillId="21" borderId="0" xfId="0" applyFont="1" applyFill="1" applyProtection="1">
      <protection locked="0"/>
    </xf>
    <xf numFmtId="0" fontId="43" fillId="0" borderId="0" xfId="0" applyFont="1" applyAlignment="1" applyProtection="1">
      <alignment vertical="top" wrapText="1"/>
      <protection locked="0"/>
    </xf>
    <xf numFmtId="0" fontId="43" fillId="0" borderId="0" xfId="0" applyFont="1" applyProtection="1">
      <protection locked="0"/>
    </xf>
    <xf numFmtId="4" fontId="16" fillId="7" borderId="12" xfId="0" applyNumberFormat="1" applyFont="1" applyFill="1" applyBorder="1" applyAlignment="1">
      <alignment horizontal="right" vertical="center"/>
    </xf>
    <xf numFmtId="164" fontId="16" fillId="7" borderId="12" xfId="0" applyNumberFormat="1" applyFont="1" applyFill="1" applyBorder="1" applyAlignment="1">
      <alignment horizontal="right" vertical="center"/>
    </xf>
    <xf numFmtId="164" fontId="16" fillId="31" borderId="12" xfId="0" applyNumberFormat="1" applyFont="1" applyFill="1" applyBorder="1" applyAlignment="1">
      <alignment horizontal="right" vertical="center"/>
    </xf>
    <xf numFmtId="164" fontId="26" fillId="0" borderId="0" xfId="0" applyNumberFormat="1" applyFont="1" applyAlignment="1">
      <alignment horizontal="left" vertical="center"/>
    </xf>
    <xf numFmtId="173" fontId="15" fillId="7" borderId="0" xfId="0" applyNumberFormat="1" applyFont="1" applyFill="1" applyAlignment="1">
      <alignment horizontal="right" vertical="center"/>
    </xf>
    <xf numFmtId="173" fontId="14" fillId="4" borderId="2" xfId="0" applyNumberFormat="1" applyFont="1" applyFill="1" applyBorder="1" applyAlignment="1">
      <alignment horizontal="right" vertical="center"/>
    </xf>
    <xf numFmtId="168" fontId="22" fillId="7" borderId="0" xfId="0" applyNumberFormat="1" applyFont="1" applyFill="1" applyAlignment="1">
      <alignment horizontal="right" vertical="center"/>
    </xf>
    <xf numFmtId="9" fontId="15" fillId="7" borderId="0" xfId="0" applyNumberFormat="1" applyFont="1" applyFill="1" applyAlignment="1">
      <alignment horizontal="right" vertical="center"/>
    </xf>
    <xf numFmtId="173" fontId="15" fillId="26" borderId="0" xfId="0" applyNumberFormat="1" applyFont="1" applyFill="1" applyAlignment="1">
      <alignment horizontal="right" vertical="center"/>
    </xf>
    <xf numFmtId="173" fontId="22" fillId="0" borderId="0" xfId="0" applyNumberFormat="1" applyFont="1"/>
    <xf numFmtId="167" fontId="22" fillId="0" borderId="0" xfId="0" applyNumberFormat="1" applyFont="1"/>
    <xf numFmtId="173" fontId="22" fillId="28" borderId="4" xfId="0" applyNumberFormat="1" applyFont="1" applyFill="1" applyBorder="1"/>
    <xf numFmtId="173" fontId="14" fillId="4" borderId="0" xfId="0" applyNumberFormat="1" applyFont="1" applyFill="1" applyAlignment="1">
      <alignment vertical="center"/>
    </xf>
    <xf numFmtId="1" fontId="14" fillId="7" borderId="0" xfId="0" applyNumberFormat="1" applyFont="1" applyFill="1" applyAlignment="1">
      <alignment vertical="center"/>
    </xf>
    <xf numFmtId="165" fontId="14" fillId="4" borderId="0" xfId="0" applyNumberFormat="1" applyFont="1" applyFill="1" applyAlignment="1">
      <alignment vertical="center"/>
    </xf>
    <xf numFmtId="3" fontId="14" fillId="7" borderId="0" xfId="0" applyNumberFormat="1" applyFont="1" applyFill="1" applyAlignment="1">
      <alignment vertical="center"/>
    </xf>
    <xf numFmtId="170" fontId="40" fillId="26" borderId="4" xfId="0" applyNumberFormat="1" applyFont="1" applyFill="1" applyBorder="1" applyAlignment="1">
      <alignment vertical="center"/>
    </xf>
    <xf numFmtId="173" fontId="36" fillId="29" borderId="17" xfId="0" applyNumberFormat="1" applyFont="1" applyFill="1" applyBorder="1" applyAlignment="1">
      <alignment horizontal="center" vertical="center"/>
    </xf>
    <xf numFmtId="173" fontId="22" fillId="0" borderId="19" xfId="0" applyNumberFormat="1" applyFont="1" applyBorder="1"/>
    <xf numFmtId="173" fontId="22" fillId="15" borderId="12" xfId="0" applyNumberFormat="1" applyFont="1" applyFill="1" applyBorder="1"/>
    <xf numFmtId="172" fontId="14" fillId="5" borderId="0" xfId="0" applyNumberFormat="1" applyFont="1" applyFill="1" applyAlignment="1">
      <alignment horizontal="right" vertical="center"/>
    </xf>
    <xf numFmtId="169" fontId="14" fillId="4" borderId="0" xfId="0" applyNumberFormat="1" applyFont="1" applyFill="1" applyAlignment="1">
      <alignment horizontal="right" vertical="center"/>
    </xf>
    <xf numFmtId="167" fontId="14" fillId="4" borderId="0" xfId="0" applyNumberFormat="1" applyFont="1" applyFill="1" applyAlignment="1">
      <alignment horizontal="right" vertical="center"/>
    </xf>
    <xf numFmtId="167" fontId="15" fillId="7" borderId="0" xfId="0" applyNumberFormat="1" applyFont="1" applyFill="1" applyAlignment="1">
      <alignment horizontal="right" vertical="center"/>
    </xf>
    <xf numFmtId="173" fontId="36" fillId="29" borderId="20" xfId="0" applyNumberFormat="1" applyFont="1" applyFill="1" applyBorder="1" applyAlignment="1">
      <alignment horizontal="center" vertical="center"/>
    </xf>
    <xf numFmtId="173" fontId="15" fillId="7" borderId="12" xfId="0" applyNumberFormat="1" applyFont="1" applyFill="1" applyBorder="1" applyAlignment="1">
      <alignment horizontal="right" vertical="center"/>
    </xf>
    <xf numFmtId="167" fontId="14" fillId="5" borderId="0" xfId="0" applyNumberFormat="1" applyFont="1" applyFill="1" applyAlignment="1">
      <alignment horizontal="right" vertical="center"/>
    </xf>
    <xf numFmtId="164" fontId="14" fillId="5" borderId="0" xfId="0" applyNumberFormat="1" applyFont="1" applyFill="1" applyAlignment="1">
      <alignment horizontal="right" vertical="center"/>
    </xf>
    <xf numFmtId="173" fontId="14" fillId="5" borderId="0" xfId="0" applyNumberFormat="1" applyFont="1" applyFill="1" applyAlignment="1">
      <alignment horizontal="right" vertical="center"/>
    </xf>
    <xf numFmtId="9" fontId="15" fillId="7" borderId="0" xfId="1" applyFont="1" applyFill="1" applyAlignment="1" applyProtection="1">
      <alignment horizontal="right" vertical="center"/>
    </xf>
    <xf numFmtId="173" fontId="36" fillId="30" borderId="0" xfId="0" applyNumberFormat="1" applyFont="1" applyFill="1" applyAlignment="1">
      <alignment horizontal="center" wrapText="1"/>
    </xf>
    <xf numFmtId="173" fontId="0" fillId="0" borderId="12" xfId="0" applyNumberFormat="1" applyBorder="1"/>
    <xf numFmtId="173" fontId="0" fillId="15" borderId="12" xfId="0" applyNumberFormat="1" applyFill="1" applyBorder="1"/>
    <xf numFmtId="0" fontId="45" fillId="5" borderId="2" xfId="0" applyFont="1" applyFill="1" applyBorder="1" applyAlignment="1" applyProtection="1">
      <alignment horizontal="left" vertical="center"/>
      <protection locked="0"/>
    </xf>
    <xf numFmtId="0" fontId="4" fillId="11" borderId="0" xfId="0" applyFont="1" applyFill="1" applyAlignment="1" applyProtection="1">
      <alignment horizontal="left" vertical="center"/>
      <protection locked="0"/>
    </xf>
    <xf numFmtId="0" fontId="5" fillId="3" borderId="0" xfId="0" applyFont="1" applyFill="1" applyAlignment="1" applyProtection="1">
      <alignment horizontal="left" vertical="center"/>
      <protection locked="0"/>
    </xf>
    <xf numFmtId="173" fontId="20" fillId="7" borderId="0" xfId="0" applyNumberFormat="1" applyFont="1" applyFill="1" applyAlignment="1" applyProtection="1">
      <alignment horizontal="center" vertical="center"/>
      <protection locked="0"/>
    </xf>
    <xf numFmtId="0" fontId="20" fillId="7" borderId="0" xfId="0" applyFont="1" applyFill="1" applyAlignment="1" applyProtection="1">
      <alignment horizontal="center" vertical="center"/>
      <protection locked="0"/>
    </xf>
    <xf numFmtId="0" fontId="3" fillId="7" borderId="0" xfId="0" applyFont="1" applyFill="1" applyAlignment="1" applyProtection="1">
      <alignment horizontal="center" vertical="center"/>
      <protection locked="0"/>
    </xf>
    <xf numFmtId="1" fontId="0" fillId="0" borderId="0" xfId="0" applyNumberFormat="1" applyProtection="1">
      <protection locked="0"/>
    </xf>
    <xf numFmtId="0" fontId="5" fillId="3" borderId="14" xfId="0" applyFont="1" applyFill="1" applyBorder="1" applyAlignment="1" applyProtection="1">
      <alignment horizontal="center" vertical="center"/>
      <protection locked="0"/>
    </xf>
    <xf numFmtId="0" fontId="5" fillId="3" borderId="14" xfId="0" applyFont="1" applyFill="1" applyBorder="1" applyAlignment="1" applyProtection="1">
      <alignment horizontal="center" vertical="center" wrapText="1"/>
      <protection locked="0"/>
    </xf>
    <xf numFmtId="0" fontId="33" fillId="22" borderId="6" xfId="0" applyFont="1" applyFill="1" applyBorder="1" applyAlignment="1" applyProtection="1">
      <alignment horizontal="center" vertical="center" wrapText="1"/>
      <protection locked="0"/>
    </xf>
    <xf numFmtId="0" fontId="3" fillId="7" borderId="0" xfId="0" applyFont="1" applyFill="1" applyAlignment="1" applyProtection="1">
      <alignment vertical="center"/>
      <protection locked="0"/>
    </xf>
    <xf numFmtId="0" fontId="5" fillId="2" borderId="0" xfId="0" applyFont="1" applyFill="1" applyAlignment="1" applyProtection="1">
      <alignment vertical="center"/>
      <protection locked="0"/>
    </xf>
    <xf numFmtId="0" fontId="5" fillId="3" borderId="1" xfId="0" applyFont="1" applyFill="1" applyBorder="1" applyAlignment="1" applyProtection="1">
      <alignment horizontal="center" vertical="center"/>
      <protection locked="0"/>
    </xf>
    <xf numFmtId="0" fontId="4" fillId="11" borderId="7" xfId="0" applyFont="1" applyFill="1" applyBorder="1" applyAlignment="1" applyProtection="1">
      <alignment horizontal="left" vertical="center" indent="1"/>
      <protection locked="0"/>
    </xf>
    <xf numFmtId="0" fontId="4" fillId="11" borderId="9" xfId="0" applyFont="1" applyFill="1" applyBorder="1" applyAlignment="1" applyProtection="1">
      <alignment horizontal="left" vertical="center" indent="1"/>
      <protection locked="0"/>
    </xf>
    <xf numFmtId="0" fontId="5" fillId="2" borderId="10" xfId="0" applyFont="1" applyFill="1" applyBorder="1" applyAlignment="1" applyProtection="1">
      <alignment horizontal="left" vertical="center" indent="1"/>
      <protection locked="0"/>
    </xf>
    <xf numFmtId="173" fontId="3" fillId="7" borderId="0" xfId="0" applyNumberFormat="1" applyFont="1" applyFill="1" applyAlignment="1">
      <alignment horizontal="center" vertical="center"/>
    </xf>
    <xf numFmtId="170" fontId="3" fillId="7" borderId="0" xfId="0" applyNumberFormat="1" applyFont="1" applyFill="1" applyAlignment="1">
      <alignment horizontal="center" vertical="center"/>
    </xf>
    <xf numFmtId="173" fontId="28" fillId="4" borderId="0" xfId="0" applyNumberFormat="1" applyFont="1" applyFill="1" applyAlignment="1">
      <alignment horizontal="center" vertical="center"/>
    </xf>
    <xf numFmtId="10" fontId="3" fillId="4" borderId="0" xfId="0" applyNumberFormat="1" applyFont="1" applyFill="1" applyAlignment="1">
      <alignment horizontal="center" vertical="center"/>
    </xf>
    <xf numFmtId="173" fontId="3" fillId="4" borderId="0" xfId="0" applyNumberFormat="1" applyFont="1" applyFill="1" applyAlignment="1">
      <alignment horizontal="center" vertical="center"/>
    </xf>
    <xf numFmtId="173" fontId="3" fillId="18" borderId="0" xfId="0" applyNumberFormat="1" applyFont="1" applyFill="1" applyAlignment="1">
      <alignment horizontal="right" vertical="center"/>
    </xf>
    <xf numFmtId="165" fontId="34" fillId="0" borderId="0" xfId="0" applyNumberFormat="1" applyFont="1"/>
    <xf numFmtId="173" fontId="0" fillId="17" borderId="0" xfId="0" applyNumberFormat="1" applyFill="1"/>
    <xf numFmtId="173" fontId="0" fillId="0" borderId="0" xfId="0" applyNumberFormat="1"/>
    <xf numFmtId="173" fontId="0" fillId="15" borderId="0" xfId="0" applyNumberFormat="1" applyFill="1"/>
    <xf numFmtId="173" fontId="5" fillId="2" borderId="0" xfId="0" applyNumberFormat="1" applyFont="1" applyFill="1" applyAlignment="1">
      <alignment horizontal="right" vertical="center"/>
    </xf>
    <xf numFmtId="173" fontId="0" fillId="0" borderId="0" xfId="0" applyNumberFormat="1" applyAlignment="1">
      <alignment horizontal="right" vertical="center"/>
    </xf>
    <xf numFmtId="173" fontId="28" fillId="0" borderId="0" xfId="0" applyNumberFormat="1" applyFont="1" applyAlignment="1">
      <alignment horizontal="right" vertical="center"/>
    </xf>
    <xf numFmtId="171" fontId="0" fillId="0" borderId="0" xfId="0" applyNumberFormat="1"/>
    <xf numFmtId="0" fontId="48" fillId="0" borderId="25" xfId="0" applyFont="1" applyBorder="1" applyAlignment="1">
      <alignment horizontal="center"/>
    </xf>
    <xf numFmtId="0" fontId="53" fillId="0" borderId="0" xfId="2" applyFont="1" applyBorder="1" applyAlignment="1" applyProtection="1">
      <alignment horizontal="left"/>
    </xf>
    <xf numFmtId="0" fontId="2" fillId="2" borderId="6" xfId="0" applyFont="1" applyFill="1" applyBorder="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3" fillId="3" borderId="0" xfId="0" applyFont="1" applyFill="1" applyAlignment="1" applyProtection="1">
      <alignment horizontal="center" vertical="center"/>
      <protection locked="0"/>
    </xf>
    <xf numFmtId="0" fontId="9" fillId="2" borderId="0" xfId="0" applyFont="1" applyFill="1" applyAlignment="1" applyProtection="1">
      <alignment horizontal="center" vertical="center"/>
      <protection locked="0"/>
    </xf>
    <xf numFmtId="0" fontId="3" fillId="4" borderId="0" xfId="0" applyFont="1" applyFill="1" applyAlignment="1" applyProtection="1">
      <alignment horizontal="center" vertical="center"/>
      <protection locked="0"/>
    </xf>
    <xf numFmtId="0" fontId="4" fillId="5" borderId="0" xfId="0" applyFont="1" applyFill="1" applyAlignment="1" applyProtection="1">
      <alignment horizontal="left" vertical="center"/>
      <protection locked="0"/>
    </xf>
    <xf numFmtId="49" fontId="38" fillId="10" borderId="4" xfId="0" applyNumberFormat="1" applyFont="1" applyFill="1" applyBorder="1" applyAlignment="1" applyProtection="1">
      <alignment horizontal="left" vertical="center"/>
      <protection locked="0"/>
    </xf>
    <xf numFmtId="49" fontId="38" fillId="10" borderId="5" xfId="0" applyNumberFormat="1" applyFont="1" applyFill="1" applyBorder="1" applyAlignment="1" applyProtection="1">
      <alignment horizontal="left" vertical="center"/>
      <protection locked="0"/>
    </xf>
    <xf numFmtId="0" fontId="37" fillId="5" borderId="2" xfId="0" applyFont="1" applyFill="1" applyBorder="1" applyAlignment="1" applyProtection="1">
      <alignment horizontal="left" vertical="center"/>
      <protection locked="0"/>
    </xf>
    <xf numFmtId="49" fontId="38" fillId="10" borderId="2" xfId="0" applyNumberFormat="1" applyFont="1" applyFill="1" applyBorder="1" applyAlignment="1" applyProtection="1">
      <alignment horizontal="left" vertical="center"/>
      <protection locked="0"/>
    </xf>
    <xf numFmtId="0" fontId="4" fillId="5" borderId="2" xfId="0" applyFont="1" applyFill="1" applyBorder="1" applyAlignment="1" applyProtection="1">
      <alignment horizontal="left" vertical="center"/>
      <protection locked="0"/>
    </xf>
    <xf numFmtId="0" fontId="4" fillId="5" borderId="2" xfId="0" applyFont="1" applyFill="1" applyBorder="1" applyAlignment="1" applyProtection="1">
      <alignment horizontal="center" vertical="center"/>
      <protection locked="0"/>
    </xf>
    <xf numFmtId="0" fontId="22" fillId="0" borderId="0" xfId="0" applyFont="1" applyProtection="1">
      <protection locked="0"/>
    </xf>
    <xf numFmtId="49" fontId="13" fillId="2" borderId="0" xfId="0" applyNumberFormat="1" applyFont="1" applyFill="1" applyAlignment="1" applyProtection="1">
      <alignment horizontal="center" vertical="center"/>
      <protection locked="0"/>
    </xf>
    <xf numFmtId="49" fontId="23" fillId="3" borderId="0" xfId="0" applyNumberFormat="1" applyFont="1" applyFill="1" applyAlignment="1" applyProtection="1">
      <alignment horizontal="center" vertical="center"/>
      <protection locked="0"/>
    </xf>
    <xf numFmtId="0" fontId="42" fillId="5" borderId="0" xfId="0" applyFont="1" applyFill="1" applyAlignment="1" applyProtection="1">
      <alignment horizontal="left" vertical="center"/>
      <protection locked="0"/>
    </xf>
    <xf numFmtId="0" fontId="45" fillId="5" borderId="0" xfId="0" applyFont="1" applyFill="1" applyAlignment="1" applyProtection="1">
      <alignment horizontal="center" vertical="center"/>
      <protection locked="0"/>
    </xf>
    <xf numFmtId="0" fontId="3" fillId="7" borderId="7" xfId="0" applyFont="1" applyFill="1" applyBorder="1" applyAlignment="1" applyProtection="1">
      <alignment horizontal="left" vertical="center" wrapText="1" indent="1"/>
      <protection locked="0"/>
    </xf>
    <xf numFmtId="0" fontId="3" fillId="7" borderId="9" xfId="0" applyFont="1" applyFill="1" applyBorder="1" applyAlignment="1" applyProtection="1">
      <alignment horizontal="left" vertical="center" wrapText="1" indent="1"/>
      <protection locked="0"/>
    </xf>
    <xf numFmtId="0" fontId="31" fillId="2" borderId="6" xfId="0"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32" fillId="3" borderId="6" xfId="0" applyFont="1" applyFill="1" applyBorder="1" applyAlignment="1" applyProtection="1">
      <alignment horizontal="center" vertical="center"/>
      <protection locked="0"/>
    </xf>
    <xf numFmtId="0" fontId="32" fillId="3" borderId="0" xfId="0" applyFont="1" applyFill="1" applyAlignment="1" applyProtection="1">
      <alignment horizontal="center" vertical="center"/>
      <protection locked="0"/>
    </xf>
    <xf numFmtId="0" fontId="35" fillId="0" borderId="0" xfId="0" applyFont="1" applyAlignment="1" applyProtection="1">
      <alignment horizontal="left" vertical="center" wrapText="1"/>
      <protection locked="0"/>
    </xf>
    <xf numFmtId="0" fontId="11" fillId="2" borderId="8" xfId="0" applyFont="1" applyFill="1" applyBorder="1" applyAlignment="1" applyProtection="1">
      <alignment horizontal="left" vertical="center" wrapText="1" indent="1"/>
      <protection locked="0"/>
    </xf>
    <xf numFmtId="0" fontId="11" fillId="2" borderId="11" xfId="0" applyFont="1" applyFill="1" applyBorder="1" applyAlignment="1" applyProtection="1">
      <alignment horizontal="left" vertical="center" wrapText="1" indent="1"/>
      <protection locked="0"/>
    </xf>
    <xf numFmtId="0" fontId="20" fillId="16" borderId="0" xfId="0" applyFont="1" applyFill="1" applyAlignment="1" applyProtection="1">
      <alignment horizontal="left"/>
      <protection locked="0"/>
    </xf>
    <xf numFmtId="0" fontId="45" fillId="5" borderId="0" xfId="0" applyFont="1" applyFill="1" applyAlignment="1" applyProtection="1">
      <alignment horizontal="left" vertical="center"/>
      <protection locked="0"/>
    </xf>
  </cellXfs>
  <cellStyles count="3">
    <cellStyle name="Hyperlink" xfId="2" builtinId="8"/>
    <cellStyle name="Normal" xfId="0" builtinId="0"/>
    <cellStyle name="Percent" xfId="1" builtinId="5"/>
  </cellStyles>
  <dxfs count="0"/>
  <tableStyles count="1" defaultTableStyle="TableStyleMedium2" defaultPivotStyle="PivotStyleLight16">
    <tableStyle name="Invisible" pivot="0" table="0" count="0" xr9:uid="{E1495977-BEA5-424A-8A21-76BEC0465AAD}"/>
  </tableStyles>
  <colors>
    <indexedColors>
      <rgbColor rgb="FF000000"/>
      <rgbColor rgb="FFFFFFFF"/>
      <rgbColor rgb="FFFF0000"/>
      <rgbColor rgb="FF00FF00"/>
      <rgbColor rgb="FF0000FF"/>
      <rgbColor rgb="FFF2F2F2"/>
      <rgbColor rgb="FFFF00FF"/>
      <rgbColor rgb="FF00FFFF"/>
      <rgbColor rgb="FF800000"/>
      <rgbColor rgb="FF008000"/>
      <rgbColor rgb="FF000080"/>
      <rgbColor rgb="FF8AA64F"/>
      <rgbColor rgb="FF800080"/>
      <rgbColor rgb="FF00B050"/>
      <rgbColor rgb="FFB8CD97"/>
      <rgbColor rgb="FF7F7F7F"/>
      <rgbColor rgb="FF93A9CE"/>
      <rgbColor rgb="FF993366"/>
      <rgbColor rgb="FFF9F9F9"/>
      <rgbColor rgb="FFDCE6F1"/>
      <rgbColor rgb="FF660066"/>
      <rgbColor rgb="FFDC853E"/>
      <rgbColor rgb="FF0070C0"/>
      <rgbColor rgb="FFD9D9D9"/>
      <rgbColor rgb="FF000080"/>
      <rgbColor rgb="FFFF00FF"/>
      <rgbColor rgb="FFF5F5F5"/>
      <rgbColor rgb="FF00FFFF"/>
      <rgbColor rgb="FF800080"/>
      <rgbColor rgb="FF800000"/>
      <rgbColor rgb="FF70AD47"/>
      <rgbColor rgb="FF0000FF"/>
      <rgbColor rgb="FF00CCFF"/>
      <rgbColor rgb="FFD6E4F0"/>
      <rgbColor rgb="FFEDEDED"/>
      <rgbColor rgb="FFFFEB9C"/>
      <rgbColor rgb="FFA9C4EA"/>
      <rgbColor rgb="FFD09493"/>
      <rgbColor rgb="FFA99BBD"/>
      <rgbColor rgb="FFF8B590"/>
      <rgbColor rgb="FF2E75B6"/>
      <rgbColor rgb="FF92C3D5"/>
      <rgbColor rgb="FF92D050"/>
      <rgbColor rgb="FFFFC000"/>
      <rgbColor rgb="FFD9E2F3"/>
      <rgbColor rgb="FFED7D31"/>
      <rgbColor rgb="FF725990"/>
      <rgbColor rgb="FF878787"/>
      <rgbColor rgb="FF1F3864"/>
      <rgbColor rgb="FF4299B0"/>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mruColors>
      <color rgb="FF031D56"/>
      <color rgb="FFDCE6F1"/>
      <color rgb="FF0000FF"/>
      <color rgb="FF2E75B6"/>
      <color rgb="FF7DB64D"/>
      <color rgb="FFDA3225"/>
      <color rgb="FF3F6EC1"/>
      <color rgb="FF2D51B7"/>
      <color rgb="FF689EE0"/>
      <color rgb="FFC888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31D56"/>
                </a:solidFill>
              </a:rPr>
              <a:t>Football Field Valuation Analysis</a:t>
            </a:r>
          </a:p>
        </c:rich>
      </c:tx>
      <c:layout>
        <c:manualLayout>
          <c:xMode val="edge"/>
          <c:yMode val="edge"/>
          <c:x val="0.41830475863212235"/>
          <c:y val="1.60559911603551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507454867823144"/>
          <c:y val="0.13132544475619001"/>
          <c:w val="0.76169265302753508"/>
          <c:h val="0.79074230509092092"/>
        </c:manualLayout>
      </c:layout>
      <c:barChart>
        <c:barDir val="bar"/>
        <c:grouping val="stacked"/>
        <c:varyColors val="0"/>
        <c:ser>
          <c:idx val="0"/>
          <c:order val="0"/>
          <c:tx>
            <c:strRef>
              <c:f>'Summary FootballField'!$C$18</c:f>
              <c:strCache>
                <c:ptCount val="1"/>
                <c:pt idx="0">
                  <c:v>Low</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FootballField'!$B$19:$B$28</c:f>
              <c:strCache>
                <c:ptCount val="10"/>
                <c:pt idx="0">
                  <c:v>52-Week Mkt Range</c:v>
                </c:pt>
                <c:pt idx="1">
                  <c:v>DCF — Bear (11.5% WACC and 16x)</c:v>
                </c:pt>
                <c:pt idx="2">
                  <c:v>DCF — Base (10.7% WACC)</c:v>
                </c:pt>
                <c:pt idx="3">
                  <c:v>DCF — Bull (9.7% WACC)</c:v>
                </c:pt>
                <c:pt idx="4">
                  <c:v>Comps — Bear</c:v>
                </c:pt>
                <c:pt idx="5">
                  <c:v>Comps — Base</c:v>
                </c:pt>
                <c:pt idx="6">
                  <c:v>Comps Bull</c:v>
                </c:pt>
                <c:pt idx="7">
                  <c:v>Precedents Bear</c:v>
                </c:pt>
                <c:pt idx="8">
                  <c:v>Precedents Base</c:v>
                </c:pt>
                <c:pt idx="9">
                  <c:v>Precedents + 30% ctrl prem (Bull)</c:v>
                </c:pt>
              </c:strCache>
            </c:strRef>
          </c:cat>
          <c:val>
            <c:numRef>
              <c:f>'Summary FootballField'!$C$19:$C$28</c:f>
              <c:numCache>
                <c:formatCode>\₹\ #,##0;\(\₹\ #,##0\);"-"</c:formatCode>
                <c:ptCount val="10"/>
                <c:pt idx="0">
                  <c:v>22149</c:v>
                </c:pt>
                <c:pt idx="1">
                  <c:v>23750.323987314023</c:v>
                </c:pt>
                <c:pt idx="2">
                  <c:v>25806.998983468242</c:v>
                </c:pt>
                <c:pt idx="3">
                  <c:v>29671.68387372185</c:v>
                </c:pt>
                <c:pt idx="4">
                  <c:v>24014.39</c:v>
                </c:pt>
                <c:pt idx="5">
                  <c:v>27349.146070640178</c:v>
                </c:pt>
                <c:pt idx="6">
                  <c:v>29779.39</c:v>
                </c:pt>
                <c:pt idx="7">
                  <c:v>24521.39</c:v>
                </c:pt>
                <c:pt idx="8">
                  <c:v>25716.39</c:v>
                </c:pt>
                <c:pt idx="9">
                  <c:v>34941.79</c:v>
                </c:pt>
              </c:numCache>
            </c:numRef>
          </c:val>
          <c:extLst>
            <c:ext xmlns:c16="http://schemas.microsoft.com/office/drawing/2014/chart" uri="{C3380CC4-5D6E-409C-BE32-E72D297353CC}">
              <c16:uniqueId val="{00000000-89AC-4C79-8C26-09478FFF367D}"/>
            </c:ext>
          </c:extLst>
        </c:ser>
        <c:ser>
          <c:idx val="1"/>
          <c:order val="1"/>
          <c:tx>
            <c:strRef>
              <c:f>'Summary FootballField'!$I$18</c:f>
              <c:strCache>
                <c:ptCount val="1"/>
                <c:pt idx="0">
                  <c:v>Helper Column</c:v>
                </c:pt>
              </c:strCache>
            </c:strRef>
          </c:tx>
          <c:spPr>
            <a:solidFill>
              <a:schemeClr val="accent2"/>
            </a:solidFill>
            <a:ln>
              <a:noFill/>
            </a:ln>
            <a:effectLst/>
          </c:spPr>
          <c:invertIfNegative val="0"/>
          <c:dPt>
            <c:idx val="0"/>
            <c:invertIfNegative val="0"/>
            <c:bubble3D val="0"/>
            <c:spPr>
              <a:solidFill>
                <a:srgbClr val="8C8C8B"/>
              </a:solidFill>
              <a:ln>
                <a:noFill/>
              </a:ln>
              <a:effectLst/>
            </c:spPr>
            <c:extLst>
              <c:ext xmlns:c16="http://schemas.microsoft.com/office/drawing/2014/chart" uri="{C3380CC4-5D6E-409C-BE32-E72D297353CC}">
                <c16:uniqueId val="{0000000B-89AC-4C79-8C26-09478FFF367D}"/>
              </c:ext>
            </c:extLst>
          </c:dPt>
          <c:dPt>
            <c:idx val="1"/>
            <c:invertIfNegative val="0"/>
            <c:bubble3D val="0"/>
            <c:spPr>
              <a:solidFill>
                <a:srgbClr val="2D51B7"/>
              </a:solidFill>
              <a:ln>
                <a:noFill/>
              </a:ln>
              <a:effectLst/>
            </c:spPr>
            <c:extLst>
              <c:ext xmlns:c16="http://schemas.microsoft.com/office/drawing/2014/chart" uri="{C3380CC4-5D6E-409C-BE32-E72D297353CC}">
                <c16:uniqueId val="{0000000A-89AC-4C79-8C26-09478FFF367D}"/>
              </c:ext>
            </c:extLst>
          </c:dPt>
          <c:dPt>
            <c:idx val="2"/>
            <c:invertIfNegative val="0"/>
            <c:bubble3D val="0"/>
            <c:spPr>
              <a:solidFill>
                <a:srgbClr val="2D51B7"/>
              </a:solidFill>
              <a:ln>
                <a:noFill/>
              </a:ln>
              <a:effectLst/>
            </c:spPr>
            <c:extLst>
              <c:ext xmlns:c16="http://schemas.microsoft.com/office/drawing/2014/chart" uri="{C3380CC4-5D6E-409C-BE32-E72D297353CC}">
                <c16:uniqueId val="{00000009-89AC-4C79-8C26-09478FFF367D}"/>
              </c:ext>
            </c:extLst>
          </c:dPt>
          <c:dPt>
            <c:idx val="3"/>
            <c:invertIfNegative val="0"/>
            <c:bubble3D val="0"/>
            <c:spPr>
              <a:solidFill>
                <a:srgbClr val="2D51B7"/>
              </a:solidFill>
              <a:ln>
                <a:noFill/>
              </a:ln>
              <a:effectLst/>
            </c:spPr>
            <c:extLst>
              <c:ext xmlns:c16="http://schemas.microsoft.com/office/drawing/2014/chart" uri="{C3380CC4-5D6E-409C-BE32-E72D297353CC}">
                <c16:uniqueId val="{00000008-89AC-4C79-8C26-09478FFF367D}"/>
              </c:ext>
            </c:extLst>
          </c:dPt>
          <c:dPt>
            <c:idx val="4"/>
            <c:invertIfNegative val="0"/>
            <c:bubble3D val="0"/>
            <c:spPr>
              <a:solidFill>
                <a:srgbClr val="689EE0"/>
              </a:solidFill>
              <a:ln>
                <a:noFill/>
              </a:ln>
              <a:effectLst/>
            </c:spPr>
            <c:extLst>
              <c:ext xmlns:c16="http://schemas.microsoft.com/office/drawing/2014/chart" uri="{C3380CC4-5D6E-409C-BE32-E72D297353CC}">
                <c16:uniqueId val="{00000007-89AC-4C79-8C26-09478FFF367D}"/>
              </c:ext>
            </c:extLst>
          </c:dPt>
          <c:dPt>
            <c:idx val="5"/>
            <c:invertIfNegative val="0"/>
            <c:bubble3D val="0"/>
            <c:spPr>
              <a:solidFill>
                <a:srgbClr val="689EE0"/>
              </a:solidFill>
              <a:ln>
                <a:noFill/>
              </a:ln>
              <a:effectLst/>
            </c:spPr>
            <c:extLst>
              <c:ext xmlns:c16="http://schemas.microsoft.com/office/drawing/2014/chart" uri="{C3380CC4-5D6E-409C-BE32-E72D297353CC}">
                <c16:uniqueId val="{00000006-89AC-4C79-8C26-09478FFF367D}"/>
              </c:ext>
            </c:extLst>
          </c:dPt>
          <c:dPt>
            <c:idx val="6"/>
            <c:invertIfNegative val="0"/>
            <c:bubble3D val="0"/>
            <c:spPr>
              <a:solidFill>
                <a:srgbClr val="689EE0"/>
              </a:solidFill>
              <a:ln>
                <a:noFill/>
              </a:ln>
              <a:effectLst/>
            </c:spPr>
            <c:extLst>
              <c:ext xmlns:c16="http://schemas.microsoft.com/office/drawing/2014/chart" uri="{C3380CC4-5D6E-409C-BE32-E72D297353CC}">
                <c16:uniqueId val="{00000005-89AC-4C79-8C26-09478FFF367D}"/>
              </c:ext>
            </c:extLst>
          </c:dPt>
          <c:dPt>
            <c:idx val="7"/>
            <c:invertIfNegative val="0"/>
            <c:bubble3D val="0"/>
            <c:spPr>
              <a:solidFill>
                <a:srgbClr val="C8880A"/>
              </a:solidFill>
              <a:ln>
                <a:noFill/>
              </a:ln>
              <a:effectLst/>
            </c:spPr>
            <c:extLst>
              <c:ext xmlns:c16="http://schemas.microsoft.com/office/drawing/2014/chart" uri="{C3380CC4-5D6E-409C-BE32-E72D297353CC}">
                <c16:uniqueId val="{00000004-89AC-4C79-8C26-09478FFF367D}"/>
              </c:ext>
            </c:extLst>
          </c:dPt>
          <c:dPt>
            <c:idx val="8"/>
            <c:invertIfNegative val="0"/>
            <c:bubble3D val="0"/>
            <c:spPr>
              <a:solidFill>
                <a:srgbClr val="C8880A"/>
              </a:solidFill>
              <a:ln>
                <a:noFill/>
              </a:ln>
              <a:effectLst/>
            </c:spPr>
            <c:extLst>
              <c:ext xmlns:c16="http://schemas.microsoft.com/office/drawing/2014/chart" uri="{C3380CC4-5D6E-409C-BE32-E72D297353CC}">
                <c16:uniqueId val="{00000003-89AC-4C79-8C26-09478FFF367D}"/>
              </c:ext>
            </c:extLst>
          </c:dPt>
          <c:dPt>
            <c:idx val="9"/>
            <c:invertIfNegative val="0"/>
            <c:bubble3D val="0"/>
            <c:spPr>
              <a:solidFill>
                <a:srgbClr val="C8880A"/>
              </a:solidFill>
              <a:ln>
                <a:noFill/>
              </a:ln>
              <a:effectLst/>
            </c:spPr>
            <c:extLst>
              <c:ext xmlns:c16="http://schemas.microsoft.com/office/drawing/2014/chart" uri="{C3380CC4-5D6E-409C-BE32-E72D297353CC}">
                <c16:uniqueId val="{00000002-89AC-4C79-8C26-09478FFF367D}"/>
              </c:ext>
            </c:extLst>
          </c:dPt>
          <c:dLbls>
            <c:dLbl>
              <c:idx val="0"/>
              <c:layout>
                <c:manualLayout>
                  <c:x val="0.1129564386933922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9AC-4C79-8C26-09478FFF367D}"/>
                </c:ext>
              </c:extLst>
            </c:dLbl>
            <c:dLbl>
              <c:idx val="1"/>
              <c:layout>
                <c:manualLayout>
                  <c:x val="3.447768656179972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9AC-4C79-8C26-09478FFF367D}"/>
                </c:ext>
              </c:extLst>
            </c:dLbl>
            <c:dLbl>
              <c:idx val="2"/>
              <c:layout>
                <c:manualLayout>
                  <c:x val="3.9777547204117629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9AC-4C79-8C26-09478FFF367D}"/>
                </c:ext>
              </c:extLst>
            </c:dLbl>
            <c:dLbl>
              <c:idx val="3"/>
              <c:layout>
                <c:manualLayout>
                  <c:x val="3.102324299280126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9AC-4C79-8C26-09478FFF367D}"/>
                </c:ext>
              </c:extLst>
            </c:dLbl>
            <c:dLbl>
              <c:idx val="4"/>
              <c:layout>
                <c:manualLayout>
                  <c:x val="3.8118685386491546E-2"/>
                  <c:y val="-1.1695909389422253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AC-4C79-8C26-09478FFF367D}"/>
                </c:ext>
              </c:extLst>
            </c:dLbl>
            <c:dLbl>
              <c:idx val="5"/>
              <c:layout>
                <c:manualLayout>
                  <c:x val="3.7738124746167057E-2"/>
                  <c:y val="-1.1695909389422253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AC-4C79-8C26-09478FFF367D}"/>
                </c:ext>
              </c:extLst>
            </c:dLbl>
            <c:dLbl>
              <c:idx val="6"/>
              <c:layout>
                <c:manualLayout>
                  <c:x val="3.685830478960735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AC-4C79-8C26-09478FFF367D}"/>
                </c:ext>
              </c:extLst>
            </c:dLbl>
            <c:dLbl>
              <c:idx val="7"/>
              <c:layout>
                <c:manualLayout>
                  <c:x val="3.849411147849410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AC-4C79-8C26-09478FFF367D}"/>
                </c:ext>
              </c:extLst>
            </c:dLbl>
            <c:dLbl>
              <c:idx val="8"/>
              <c:layout>
                <c:manualLayout>
                  <c:x val="3.876130934606594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AC-4C79-8C26-09478FFF367D}"/>
                </c:ext>
              </c:extLst>
            </c:dLbl>
            <c:dLbl>
              <c:idx val="9"/>
              <c:layout>
                <c:manualLayout>
                  <c:x val="6.9653268985697167E-2"/>
                  <c:y val="-3.240315034674962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AC-4C79-8C26-09478FFF36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FootballField'!$B$19:$B$28</c:f>
              <c:strCache>
                <c:ptCount val="10"/>
                <c:pt idx="0">
                  <c:v>52-Week Mkt Range</c:v>
                </c:pt>
                <c:pt idx="1">
                  <c:v>DCF — Bear (11.5% WACC and 16x)</c:v>
                </c:pt>
                <c:pt idx="2">
                  <c:v>DCF — Base (10.7% WACC)</c:v>
                </c:pt>
                <c:pt idx="3">
                  <c:v>DCF — Bull (9.7% WACC)</c:v>
                </c:pt>
                <c:pt idx="4">
                  <c:v>Comps — Bear</c:v>
                </c:pt>
                <c:pt idx="5">
                  <c:v>Comps — Base</c:v>
                </c:pt>
                <c:pt idx="6">
                  <c:v>Comps Bull</c:v>
                </c:pt>
                <c:pt idx="7">
                  <c:v>Precedents Bear</c:v>
                </c:pt>
                <c:pt idx="8">
                  <c:v>Precedents Base</c:v>
                </c:pt>
                <c:pt idx="9">
                  <c:v>Precedents + 30% ctrl prem (Bull)</c:v>
                </c:pt>
              </c:strCache>
            </c:strRef>
          </c:cat>
          <c:val>
            <c:numRef>
              <c:f>'Summary FootballField'!$I$19:$I$28</c:f>
              <c:numCache>
                <c:formatCode>#,##0;\(#,##0\);\-</c:formatCode>
                <c:ptCount val="10"/>
                <c:pt idx="0">
                  <c:v>10753.5</c:v>
                </c:pt>
                <c:pt idx="1">
                  <c:v>1250.521670544902</c:v>
                </c:pt>
                <c:pt idx="2">
                  <c:v>2588.2993479535471</c:v>
                </c:pt>
                <c:pt idx="3">
                  <c:v>1356.5394281510999</c:v>
                </c:pt>
                <c:pt idx="4">
                  <c:v>2180</c:v>
                </c:pt>
                <c:pt idx="5">
                  <c:v>2376.0485651214112</c:v>
                </c:pt>
                <c:pt idx="6">
                  <c:v>2480</c:v>
                </c:pt>
                <c:pt idx="7">
                  <c:v>2437.8000000000029</c:v>
                </c:pt>
                <c:pt idx="8">
                  <c:v>2557.3000000000029</c:v>
                </c:pt>
                <c:pt idx="9">
                  <c:v>6022.7999999999956</c:v>
                </c:pt>
              </c:numCache>
            </c:numRef>
          </c:val>
          <c:extLst>
            <c:ext xmlns:c16="http://schemas.microsoft.com/office/drawing/2014/chart" uri="{C3380CC4-5D6E-409C-BE32-E72D297353CC}">
              <c16:uniqueId val="{00000001-89AC-4C79-8C26-09478FFF367D}"/>
            </c:ext>
          </c:extLst>
        </c:ser>
        <c:dLbls>
          <c:showLegendKey val="0"/>
          <c:showVal val="0"/>
          <c:showCatName val="0"/>
          <c:showSerName val="0"/>
          <c:showPercent val="0"/>
          <c:showBubbleSize val="0"/>
        </c:dLbls>
        <c:gapWidth val="150"/>
        <c:overlap val="100"/>
        <c:axId val="218553023"/>
        <c:axId val="218560223"/>
      </c:barChart>
      <c:catAx>
        <c:axId val="21855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8560223"/>
        <c:crosses val="autoZero"/>
        <c:auto val="1"/>
        <c:lblAlgn val="ctr"/>
        <c:lblOffset val="100"/>
        <c:noMultiLvlLbl val="0"/>
      </c:catAx>
      <c:valAx>
        <c:axId val="218560223"/>
        <c:scaling>
          <c:orientation val="minMax"/>
        </c:scaling>
        <c:delete val="0"/>
        <c:axPos val="b"/>
        <c:numFmt formatCode="\₹\ #,##0;\(\₹\ #,##0\);&quot;-&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855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31D56"/>
                </a:solidFill>
              </a:rPr>
              <a:t>Combined Revenue, EBITDA</a:t>
            </a:r>
            <a:r>
              <a:rPr lang="en-IN" b="1" baseline="0">
                <a:solidFill>
                  <a:srgbClr val="031D56"/>
                </a:solidFill>
              </a:rPr>
              <a:t> and PAT Trend</a:t>
            </a:r>
            <a:endParaRPr lang="en-IN" b="1">
              <a:solidFill>
                <a:srgbClr val="031D5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0507002863478191E-2"/>
          <c:y val="0.17464823896925202"/>
          <c:w val="0.86884845309533654"/>
          <c:h val="0.64652375562506403"/>
        </c:manualLayout>
      </c:layout>
      <c:barChart>
        <c:barDir val="col"/>
        <c:grouping val="clustered"/>
        <c:varyColors val="0"/>
        <c:ser>
          <c:idx val="0"/>
          <c:order val="0"/>
          <c:tx>
            <c:strRef>
              <c:f>'Summary FootballField'!$B$66</c:f>
              <c:strCache>
                <c:ptCount val="1"/>
                <c:pt idx="0">
                  <c:v>Combined Revenue (₹ Cr)</c:v>
                </c:pt>
              </c:strCache>
            </c:strRef>
          </c:tx>
          <c:spPr>
            <a:solidFill>
              <a:srgbClr val="3F6E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FootballField'!$C$65:$H$65</c:f>
              <c:strCache>
                <c:ptCount val="6"/>
                <c:pt idx="0">
                  <c:v>FY25A</c:v>
                </c:pt>
                <c:pt idx="1">
                  <c:v>FY26E</c:v>
                </c:pt>
                <c:pt idx="2">
                  <c:v>FY27E</c:v>
                </c:pt>
                <c:pt idx="3">
                  <c:v>FY28E</c:v>
                </c:pt>
                <c:pt idx="4">
                  <c:v>FY29E</c:v>
                </c:pt>
                <c:pt idx="5">
                  <c:v>FY30E</c:v>
                </c:pt>
              </c:strCache>
            </c:strRef>
          </c:cat>
          <c:val>
            <c:numRef>
              <c:f>'Summary FootballField'!$C$66:$H$66</c:f>
              <c:numCache>
                <c:formatCode>\₹\ #,##0;\(\₹\ #,##0\);"-"</c:formatCode>
                <c:ptCount val="6"/>
                <c:pt idx="0">
                  <c:v>15434</c:v>
                </c:pt>
                <c:pt idx="1">
                  <c:v>17424.272000000001</c:v>
                </c:pt>
                <c:pt idx="2">
                  <c:v>19559.066240000004</c:v>
                </c:pt>
                <c:pt idx="3">
                  <c:v>22030.740396800007</c:v>
                </c:pt>
                <c:pt idx="4">
                  <c:v>24525.87184044801</c:v>
                </c:pt>
                <c:pt idx="5">
                  <c:v>26740.689917927688</c:v>
                </c:pt>
              </c:numCache>
            </c:numRef>
          </c:val>
          <c:extLst>
            <c:ext xmlns:c16="http://schemas.microsoft.com/office/drawing/2014/chart" uri="{C3380CC4-5D6E-409C-BE32-E72D297353CC}">
              <c16:uniqueId val="{00000000-7A3E-46FD-B314-4E442292ACFF}"/>
            </c:ext>
          </c:extLst>
        </c:ser>
        <c:dLbls>
          <c:showLegendKey val="0"/>
          <c:showVal val="0"/>
          <c:showCatName val="0"/>
          <c:showSerName val="0"/>
          <c:showPercent val="0"/>
          <c:showBubbleSize val="0"/>
        </c:dLbls>
        <c:gapWidth val="219"/>
        <c:overlap val="-27"/>
        <c:axId val="218535743"/>
        <c:axId val="218536223"/>
      </c:barChart>
      <c:lineChart>
        <c:grouping val="standard"/>
        <c:varyColors val="0"/>
        <c:ser>
          <c:idx val="1"/>
          <c:order val="1"/>
          <c:tx>
            <c:strRef>
              <c:f>'Summary FootballField'!$B$67</c:f>
              <c:strCache>
                <c:ptCount val="1"/>
                <c:pt idx="0">
                  <c:v>Combined EBITDA (₹ Cr)</c:v>
                </c:pt>
              </c:strCache>
            </c:strRef>
          </c:tx>
          <c:spPr>
            <a:ln w="28575" cap="rnd">
              <a:solidFill>
                <a:schemeClr val="accent2"/>
              </a:solidFill>
              <a:round/>
            </a:ln>
            <a:effectLst/>
          </c:spPr>
          <c:marker>
            <c:symbol val="circle"/>
            <c:size val="6"/>
            <c:spPr>
              <a:solidFill>
                <a:schemeClr val="bg1"/>
              </a:solidFill>
              <a:ln w="3175">
                <a:solidFill>
                  <a:schemeClr val="accent2"/>
                </a:solidFill>
              </a:ln>
              <a:effectLst/>
            </c:spPr>
          </c:marker>
          <c:dLbls>
            <c:dLbl>
              <c:idx val="0"/>
              <c:layout>
                <c:manualLayout>
                  <c:x val="1.150620195934182E-2"/>
                  <c:y val="4.25038303648702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3E-46FD-B314-4E442292ACFF}"/>
                </c:ext>
              </c:extLst>
            </c:dLbl>
            <c:dLbl>
              <c:idx val="1"/>
              <c:layout>
                <c:manualLayout>
                  <c:x val="1.1506201959341759E-2"/>
                  <c:y val="2.5502298218922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3E-46FD-B314-4E442292ACFF}"/>
                </c:ext>
              </c:extLst>
            </c:dLbl>
            <c:dLbl>
              <c:idx val="2"/>
              <c:layout>
                <c:manualLayout>
                  <c:x val="1.150620195934182E-2"/>
                  <c:y val="2.5502298218922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3E-46FD-B314-4E442292ACFF}"/>
                </c:ext>
              </c:extLst>
            </c:dLbl>
            <c:dLbl>
              <c:idx val="3"/>
              <c:layout>
                <c:manualLayout>
                  <c:x val="1.150620195934182E-2"/>
                  <c:y val="2.5502298218922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A3E-46FD-B314-4E442292ACFF}"/>
                </c:ext>
              </c:extLst>
            </c:dLbl>
            <c:dLbl>
              <c:idx val="4"/>
              <c:layout>
                <c:manualLayout>
                  <c:x val="1.314994509639065E-2"/>
                  <c:y val="2.5502298218922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3E-46FD-B314-4E442292ACFF}"/>
                </c:ext>
              </c:extLst>
            </c:dLbl>
            <c:dLbl>
              <c:idx val="5"/>
              <c:layout>
                <c:manualLayout>
                  <c:x val="9.8624588222929882E-3"/>
                  <c:y val="3.40030642918962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A3E-46FD-B314-4E442292AC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FootballField'!$C$65:$H$65</c:f>
              <c:strCache>
                <c:ptCount val="6"/>
                <c:pt idx="0">
                  <c:v>FY25A</c:v>
                </c:pt>
                <c:pt idx="1">
                  <c:v>FY26E</c:v>
                </c:pt>
                <c:pt idx="2">
                  <c:v>FY27E</c:v>
                </c:pt>
                <c:pt idx="3">
                  <c:v>FY28E</c:v>
                </c:pt>
                <c:pt idx="4">
                  <c:v>FY29E</c:v>
                </c:pt>
                <c:pt idx="5">
                  <c:v>FY30E</c:v>
                </c:pt>
              </c:strCache>
            </c:strRef>
          </c:cat>
          <c:val>
            <c:numRef>
              <c:f>'Summary FootballField'!$C$67:$H$67</c:f>
              <c:numCache>
                <c:formatCode>\₹\ #,##0;\(\₹\ #,##0\);"-"</c:formatCode>
                <c:ptCount val="6"/>
                <c:pt idx="0">
                  <c:v>4808</c:v>
                </c:pt>
                <c:pt idx="1">
                  <c:v>5539.506448000001</c:v>
                </c:pt>
                <c:pt idx="2">
                  <c:v>6234.9483635200013</c:v>
                </c:pt>
                <c:pt idx="3">
                  <c:v>7211.0433727680029</c:v>
                </c:pt>
                <c:pt idx="4">
                  <c:v>8195.4194855228197</c:v>
                </c:pt>
                <c:pt idx="5">
                  <c:v>8986.0839929569665</c:v>
                </c:pt>
              </c:numCache>
            </c:numRef>
          </c:val>
          <c:smooth val="0"/>
          <c:extLst>
            <c:ext xmlns:c16="http://schemas.microsoft.com/office/drawing/2014/chart" uri="{C3380CC4-5D6E-409C-BE32-E72D297353CC}">
              <c16:uniqueId val="{00000001-7A3E-46FD-B314-4E442292ACFF}"/>
            </c:ext>
          </c:extLst>
        </c:ser>
        <c:ser>
          <c:idx val="2"/>
          <c:order val="2"/>
          <c:tx>
            <c:strRef>
              <c:f>'Summary FootballField'!$B$68</c:f>
              <c:strCache>
                <c:ptCount val="1"/>
                <c:pt idx="0">
                  <c:v>Combined PAT (₹ Cr)</c:v>
                </c:pt>
              </c:strCache>
            </c:strRef>
          </c:tx>
          <c:spPr>
            <a:ln w="28575" cap="rnd">
              <a:solidFill>
                <a:schemeClr val="accent3"/>
              </a:solidFill>
              <a:round/>
            </a:ln>
            <a:effectLst/>
          </c:spPr>
          <c:marker>
            <c:symbol val="circle"/>
            <c:size val="6"/>
            <c:spPr>
              <a:solidFill>
                <a:schemeClr val="bg1"/>
              </a:solidFill>
              <a:ln w="9525">
                <a:solidFill>
                  <a:schemeClr val="accent3">
                    <a:lumMod val="75000"/>
                  </a:schemeClr>
                </a:solidFill>
              </a:ln>
              <a:effectLst/>
            </c:spPr>
          </c:marker>
          <c:dLbls>
            <c:dLbl>
              <c:idx val="0"/>
              <c:layout>
                <c:manualLayout>
                  <c:x val="9.8624588222929882E-3"/>
                  <c:y val="3.40030642918962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A3E-46FD-B314-4E442292ACFF}"/>
                </c:ext>
              </c:extLst>
            </c:dLbl>
            <c:dLbl>
              <c:idx val="1"/>
              <c:layout>
                <c:manualLayout>
                  <c:x val="1.314994509639059E-2"/>
                  <c:y val="2.5502298218922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A3E-46FD-B314-4E442292ACFF}"/>
                </c:ext>
              </c:extLst>
            </c:dLbl>
            <c:dLbl>
              <c:idx val="2"/>
              <c:layout>
                <c:manualLayout>
                  <c:x val="1.150620195934182E-2"/>
                  <c:y val="2.1251915182435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A3E-46FD-B314-4E442292ACFF}"/>
                </c:ext>
              </c:extLst>
            </c:dLbl>
            <c:dLbl>
              <c:idx val="3"/>
              <c:layout>
                <c:manualLayout>
                  <c:x val="9.8624588222929882E-3"/>
                  <c:y val="2.1251915182435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A3E-46FD-B314-4E442292ACFF}"/>
                </c:ext>
              </c:extLst>
            </c:dLbl>
            <c:dLbl>
              <c:idx val="4"/>
              <c:layout>
                <c:manualLayout>
                  <c:x val="9.8624588222929882E-3"/>
                  <c:y val="2.9752681255409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A3E-46FD-B314-4E442292ACFF}"/>
                </c:ext>
              </c:extLst>
            </c:dLbl>
            <c:dLbl>
              <c:idx val="5"/>
              <c:layout>
                <c:manualLayout>
                  <c:x val="9.8624588222929882E-3"/>
                  <c:y val="3.82534473283832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A3E-46FD-B314-4E442292AC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FootballField'!$C$65:$H$65</c:f>
              <c:strCache>
                <c:ptCount val="6"/>
                <c:pt idx="0">
                  <c:v>FY25A</c:v>
                </c:pt>
                <c:pt idx="1">
                  <c:v>FY26E</c:v>
                </c:pt>
                <c:pt idx="2">
                  <c:v>FY27E</c:v>
                </c:pt>
                <c:pt idx="3">
                  <c:v>FY28E</c:v>
                </c:pt>
                <c:pt idx="4">
                  <c:v>FY29E</c:v>
                </c:pt>
                <c:pt idx="5">
                  <c:v>FY30E</c:v>
                </c:pt>
              </c:strCache>
            </c:strRef>
          </c:cat>
          <c:val>
            <c:numRef>
              <c:f>'Summary FootballField'!$C$68:$H$68</c:f>
              <c:numCache>
                <c:formatCode>\₹\ #,##0;\(\₹\ #,##0\);"-"</c:formatCode>
                <c:ptCount val="6"/>
                <c:pt idx="0">
                  <c:v>1915.7170000000001</c:v>
                </c:pt>
                <c:pt idx="1">
                  <c:v>1568.0107649600009</c:v>
                </c:pt>
                <c:pt idx="2">
                  <c:v>2052.8012051712008</c:v>
                </c:pt>
                <c:pt idx="3">
                  <c:v>2774.4712472508177</c:v>
                </c:pt>
                <c:pt idx="4">
                  <c:v>3550.8537137789895</c:v>
                </c:pt>
                <c:pt idx="5">
                  <c:v>4205.2359758872517</c:v>
                </c:pt>
              </c:numCache>
            </c:numRef>
          </c:val>
          <c:smooth val="0"/>
          <c:extLst>
            <c:ext xmlns:c16="http://schemas.microsoft.com/office/drawing/2014/chart" uri="{C3380CC4-5D6E-409C-BE32-E72D297353CC}">
              <c16:uniqueId val="{00000002-7A3E-46FD-B314-4E442292ACFF}"/>
            </c:ext>
          </c:extLst>
        </c:ser>
        <c:dLbls>
          <c:showLegendKey val="0"/>
          <c:showVal val="0"/>
          <c:showCatName val="0"/>
          <c:showSerName val="0"/>
          <c:showPercent val="0"/>
          <c:showBubbleSize val="0"/>
        </c:dLbls>
        <c:marker val="1"/>
        <c:smooth val="0"/>
        <c:axId val="218541983"/>
        <c:axId val="218540543"/>
      </c:lineChart>
      <c:catAx>
        <c:axId val="21853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536223"/>
        <c:crosses val="autoZero"/>
        <c:auto val="1"/>
        <c:lblAlgn val="ctr"/>
        <c:lblOffset val="100"/>
        <c:noMultiLvlLbl val="0"/>
      </c:catAx>
      <c:valAx>
        <c:axId val="218536223"/>
        <c:scaling>
          <c:orientation val="minMax"/>
        </c:scaling>
        <c:delete val="0"/>
        <c:axPos val="l"/>
        <c:numFmt formatCode="\₹\ #,##0;\(\₹\ #,##0\);&quot;-&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535743"/>
        <c:crosses val="autoZero"/>
        <c:crossBetween val="between"/>
      </c:valAx>
      <c:valAx>
        <c:axId val="218540543"/>
        <c:scaling>
          <c:orientation val="minMax"/>
          <c:max val="12000"/>
        </c:scaling>
        <c:delete val="0"/>
        <c:axPos val="r"/>
        <c:numFmt formatCode="\₹\ #,##0;\(\₹\ #,##0\);&quot;-&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541983"/>
        <c:crosses val="max"/>
        <c:crossBetween val="between"/>
      </c:valAx>
      <c:catAx>
        <c:axId val="218541983"/>
        <c:scaling>
          <c:orientation val="minMax"/>
        </c:scaling>
        <c:delete val="1"/>
        <c:axPos val="b"/>
        <c:numFmt formatCode="General" sourceLinked="1"/>
        <c:majorTickMark val="out"/>
        <c:minorTickMark val="none"/>
        <c:tickLblPos val="nextTo"/>
        <c:crossAx val="2185405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31D56"/>
                </a:solidFill>
              </a:rPr>
              <a:t>EPS Accretion</a:t>
            </a:r>
            <a:r>
              <a:rPr lang="en-IN" b="1" baseline="0">
                <a:solidFill>
                  <a:srgbClr val="031D56"/>
                </a:solidFill>
              </a:rPr>
              <a:t> / Dilution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'Summary FootballField'!$B$91</c:f>
              <c:strCache>
                <c:ptCount val="1"/>
                <c:pt idx="0">
                  <c:v>Accretion (%)</c:v>
                </c:pt>
              </c:strCache>
            </c:strRef>
          </c:tx>
          <c:spPr>
            <a:solidFill>
              <a:schemeClr val="accent3"/>
            </a:solidFill>
            <a:ln>
              <a:noFill/>
            </a:ln>
            <a:effectLst/>
          </c:spPr>
          <c:invertIfNegative val="0"/>
          <c:dPt>
            <c:idx val="0"/>
            <c:invertIfNegative val="0"/>
            <c:bubble3D val="0"/>
            <c:spPr>
              <a:solidFill>
                <a:srgbClr val="DA3225"/>
              </a:solidFill>
              <a:ln>
                <a:noFill/>
              </a:ln>
              <a:effectLst/>
            </c:spPr>
            <c:extLst>
              <c:ext xmlns:c16="http://schemas.microsoft.com/office/drawing/2014/chart" uri="{C3380CC4-5D6E-409C-BE32-E72D297353CC}">
                <c16:uniqueId val="{00000003-B645-4C3F-B7D2-F4285B7B37D0}"/>
              </c:ext>
            </c:extLst>
          </c:dPt>
          <c:dPt>
            <c:idx val="1"/>
            <c:invertIfNegative val="0"/>
            <c:bubble3D val="0"/>
            <c:spPr>
              <a:solidFill>
                <a:srgbClr val="DA3225"/>
              </a:solidFill>
              <a:ln>
                <a:noFill/>
              </a:ln>
              <a:effectLst/>
            </c:spPr>
            <c:extLst>
              <c:ext xmlns:c16="http://schemas.microsoft.com/office/drawing/2014/chart" uri="{C3380CC4-5D6E-409C-BE32-E72D297353CC}">
                <c16:uniqueId val="{00000004-B645-4C3F-B7D2-F4285B7B37D0}"/>
              </c:ext>
            </c:extLst>
          </c:dPt>
          <c:dPt>
            <c:idx val="2"/>
            <c:invertIfNegative val="0"/>
            <c:bubble3D val="0"/>
            <c:spPr>
              <a:solidFill>
                <a:srgbClr val="DA3225"/>
              </a:solidFill>
              <a:ln>
                <a:noFill/>
              </a:ln>
              <a:effectLst/>
            </c:spPr>
            <c:extLst>
              <c:ext xmlns:c16="http://schemas.microsoft.com/office/drawing/2014/chart" uri="{C3380CC4-5D6E-409C-BE32-E72D297353CC}">
                <c16:uniqueId val="{00000005-B645-4C3F-B7D2-F4285B7B37D0}"/>
              </c:ext>
            </c:extLst>
          </c:dPt>
          <c:dPt>
            <c:idx val="3"/>
            <c:invertIfNegative val="0"/>
            <c:bubble3D val="0"/>
            <c:spPr>
              <a:solidFill>
                <a:srgbClr val="7DB64D"/>
              </a:solidFill>
              <a:ln>
                <a:noFill/>
              </a:ln>
              <a:effectLst/>
            </c:spPr>
            <c:extLst>
              <c:ext xmlns:c16="http://schemas.microsoft.com/office/drawing/2014/chart" uri="{C3380CC4-5D6E-409C-BE32-E72D297353CC}">
                <c16:uniqueId val="{00000006-B645-4C3F-B7D2-F4285B7B37D0}"/>
              </c:ext>
            </c:extLst>
          </c:dPt>
          <c:dPt>
            <c:idx val="4"/>
            <c:invertIfNegative val="0"/>
            <c:bubble3D val="0"/>
            <c:spPr>
              <a:solidFill>
                <a:srgbClr val="7DB64D"/>
              </a:solidFill>
              <a:ln>
                <a:noFill/>
              </a:ln>
              <a:effectLst/>
            </c:spPr>
            <c:extLst>
              <c:ext xmlns:c16="http://schemas.microsoft.com/office/drawing/2014/chart" uri="{C3380CC4-5D6E-409C-BE32-E72D297353CC}">
                <c16:uniqueId val="{00000007-B645-4C3F-B7D2-F4285B7B37D0}"/>
              </c:ext>
            </c:extLst>
          </c:dPt>
          <c:dLbls>
            <c:dLbl>
              <c:idx val="2"/>
              <c:layout>
                <c:manualLayout>
                  <c:x val="6.40839333036451E-17"/>
                  <c:y val="8.26947012556246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45-4C3F-B7D2-F4285B7B37D0}"/>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DB64D"/>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6-B645-4C3F-B7D2-F4285B7B37D0}"/>
                </c:ext>
              </c:extLst>
            </c:dLbl>
            <c:dLbl>
              <c:idx val="4"/>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DB64D"/>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7-B645-4C3F-B7D2-F4285B7B37D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A322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FootballField'!$C$88:$G$88</c:f>
              <c:strCache>
                <c:ptCount val="5"/>
                <c:pt idx="0">
                  <c:v>FY26E</c:v>
                </c:pt>
                <c:pt idx="1">
                  <c:v>FY27E</c:v>
                </c:pt>
                <c:pt idx="2">
                  <c:v>FY28E</c:v>
                </c:pt>
                <c:pt idx="3">
                  <c:v>FY29E</c:v>
                </c:pt>
                <c:pt idx="4">
                  <c:v>FY30E</c:v>
                </c:pt>
              </c:strCache>
            </c:strRef>
          </c:cat>
          <c:val>
            <c:numRef>
              <c:f>'Summary FootballField'!$C$91:$G$91</c:f>
              <c:numCache>
                <c:formatCode>0.0%;\(0.0%\);"-"</c:formatCode>
                <c:ptCount val="5"/>
                <c:pt idx="0">
                  <c:v>-0.19262702307661317</c:v>
                </c:pt>
                <c:pt idx="1">
                  <c:v>-0.14335274058611114</c:v>
                </c:pt>
                <c:pt idx="2">
                  <c:v>-3.1736899743391778E-2</c:v>
                </c:pt>
                <c:pt idx="3">
                  <c:v>3.9180240883842199E-2</c:v>
                </c:pt>
                <c:pt idx="4">
                  <c:v>7.115712474470004E-2</c:v>
                </c:pt>
              </c:numCache>
            </c:numRef>
          </c:val>
          <c:extLst>
            <c:ext xmlns:c16="http://schemas.microsoft.com/office/drawing/2014/chart" uri="{C3380CC4-5D6E-409C-BE32-E72D297353CC}">
              <c16:uniqueId val="{00000002-B645-4C3F-B7D2-F4285B7B37D0}"/>
            </c:ext>
          </c:extLst>
        </c:ser>
        <c:dLbls>
          <c:showLegendKey val="0"/>
          <c:showVal val="0"/>
          <c:showCatName val="0"/>
          <c:showSerName val="0"/>
          <c:showPercent val="0"/>
          <c:showBubbleSize val="0"/>
        </c:dLbls>
        <c:gapWidth val="260"/>
        <c:axId val="218568863"/>
        <c:axId val="218571743"/>
      </c:barChart>
      <c:lineChart>
        <c:grouping val="standard"/>
        <c:varyColors val="0"/>
        <c:ser>
          <c:idx val="0"/>
          <c:order val="0"/>
          <c:tx>
            <c:strRef>
              <c:f>'Summary FootballField'!$B$89</c:f>
              <c:strCache>
                <c:ptCount val="1"/>
                <c:pt idx="0">
                  <c:v>Torrent Standalone EPS (₹)</c:v>
                </c:pt>
              </c:strCache>
            </c:strRef>
          </c:tx>
          <c:spPr>
            <a:ln w="19050" cap="rnd">
              <a:solidFill>
                <a:schemeClr val="tx1">
                  <a:lumMod val="50000"/>
                  <a:lumOff val="50000"/>
                </a:schemeClr>
              </a:solidFill>
              <a:prstDash val="sysDash"/>
              <a:round/>
            </a:ln>
            <a:effectLst/>
          </c:spPr>
          <c:marker>
            <c:symbol val="circle"/>
            <c:size val="5"/>
            <c:spPr>
              <a:solidFill>
                <a:schemeClr val="tx1">
                  <a:lumMod val="50000"/>
                  <a:lumOff val="50000"/>
                </a:schemeClr>
              </a:solidFill>
              <a:ln w="9525">
                <a:noFill/>
              </a:ln>
              <a:effectLst/>
            </c:spPr>
          </c:marker>
          <c:dLbls>
            <c:dLbl>
              <c:idx val="0"/>
              <c:layout>
                <c:manualLayout>
                  <c:x val="-7.1658316851140616E-2"/>
                  <c:y val="-4.5482085690593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45-4C3F-B7D2-F4285B7B37D0}"/>
                </c:ext>
              </c:extLst>
            </c:dLbl>
            <c:dLbl>
              <c:idx val="1"/>
              <c:layout>
                <c:manualLayout>
                  <c:x val="-7.5153844502415773E-2"/>
                  <c:y val="-2.89431454394686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45-4C3F-B7D2-F4285B7B37D0}"/>
                </c:ext>
              </c:extLst>
            </c:dLbl>
            <c:dLbl>
              <c:idx val="2"/>
              <c:layout>
                <c:manualLayout>
                  <c:x val="-7.8649372153690916E-2"/>
                  <c:y val="-2.0673675313906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645-4C3F-B7D2-F4285B7B37D0}"/>
                </c:ext>
              </c:extLst>
            </c:dLbl>
            <c:dLbl>
              <c:idx val="3"/>
              <c:layout>
                <c:manualLayout>
                  <c:x val="1.7477638256375759E-3"/>
                  <c:y val="3.3077880502249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645-4C3F-B7D2-F4285B7B37D0}"/>
                </c:ext>
              </c:extLst>
            </c:dLbl>
            <c:dLbl>
              <c:idx val="4"/>
              <c:layout>
                <c:manualLayout>
                  <c:x val="-4.1990504194641967E-2"/>
                  <c:y val="5.4107104121923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645-4C3F-B7D2-F4285B7B37D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FootballField'!$C$88:$G$88</c:f>
              <c:strCache>
                <c:ptCount val="5"/>
                <c:pt idx="0">
                  <c:v>FY26E</c:v>
                </c:pt>
                <c:pt idx="1">
                  <c:v>FY27E</c:v>
                </c:pt>
                <c:pt idx="2">
                  <c:v>FY28E</c:v>
                </c:pt>
                <c:pt idx="3">
                  <c:v>FY29E</c:v>
                </c:pt>
                <c:pt idx="4">
                  <c:v>FY30E</c:v>
                </c:pt>
              </c:strCache>
            </c:strRef>
          </c:cat>
          <c:val>
            <c:numRef>
              <c:f>'Summary FootballField'!$C$89:$G$89</c:f>
              <c:numCache>
                <c:formatCode>\₹\ #,##0;\(\₹\ #,##0\);"-"</c:formatCode>
                <c:ptCount val="5"/>
                <c:pt idx="0">
                  <c:v>50.746761801418444</c:v>
                </c:pt>
                <c:pt idx="1">
                  <c:v>62.639317244066213</c:v>
                </c:pt>
                <c:pt idx="2">
                  <c:v>76.555561689690819</c:v>
                </c:pt>
                <c:pt idx="3">
                  <c:v>92.482769502699441</c:v>
                </c:pt>
                <c:pt idx="4">
                  <c:v>106.6997721911811</c:v>
                </c:pt>
              </c:numCache>
            </c:numRef>
          </c:val>
          <c:smooth val="0"/>
          <c:extLst>
            <c:ext xmlns:c16="http://schemas.microsoft.com/office/drawing/2014/chart" uri="{C3380CC4-5D6E-409C-BE32-E72D297353CC}">
              <c16:uniqueId val="{00000000-B645-4C3F-B7D2-F4285B7B37D0}"/>
            </c:ext>
          </c:extLst>
        </c:ser>
        <c:ser>
          <c:idx val="1"/>
          <c:order val="1"/>
          <c:tx>
            <c:strRef>
              <c:f>'Summary FootballField'!$B$90</c:f>
              <c:strCache>
                <c:ptCount val="1"/>
                <c:pt idx="0">
                  <c:v>Combined Entity EPS (₹)</c:v>
                </c:pt>
              </c:strCache>
            </c:strRef>
          </c:tx>
          <c:spPr>
            <a:ln w="19050" cap="rnd">
              <a:solidFill>
                <a:srgbClr val="FFC000"/>
              </a:solidFill>
              <a:round/>
            </a:ln>
            <a:effectLst/>
          </c:spPr>
          <c:marker>
            <c:symbol val="circle"/>
            <c:size val="5"/>
            <c:spPr>
              <a:solidFill>
                <a:srgbClr val="FFC000"/>
              </a:solidFill>
              <a:ln w="9525">
                <a:noFill/>
              </a:ln>
              <a:effectLst/>
            </c:spPr>
          </c:marker>
          <c:dLbls>
            <c:dLbl>
              <c:idx val="0"/>
              <c:layout>
                <c:manualLayout>
                  <c:x val="1.3982110605100607E-2"/>
                  <c:y val="2.4808410376687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45-4C3F-B7D2-F4285B7B37D0}"/>
                </c:ext>
              </c:extLst>
            </c:dLbl>
            <c:dLbl>
              <c:idx val="1"/>
              <c:layout>
                <c:manualLayout>
                  <c:x val="1.2234346779463032E-2"/>
                  <c:y val="1.65389402511249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45-4C3F-B7D2-F4285B7B37D0}"/>
                </c:ext>
              </c:extLst>
            </c:dLbl>
            <c:dLbl>
              <c:idx val="2"/>
              <c:layout>
                <c:manualLayout>
                  <c:x val="1.0486582953825456E-2"/>
                  <c:y val="2.8943145439468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645-4C3F-B7D2-F4285B7B37D0}"/>
                </c:ext>
              </c:extLst>
            </c:dLbl>
            <c:dLbl>
              <c:idx val="3"/>
              <c:layout>
                <c:manualLayout>
                  <c:x val="-9.4388204282916388E-2"/>
                  <c:y val="4.30254834664179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645-4C3F-B7D2-F4285B7B37D0}"/>
                </c:ext>
              </c:extLst>
            </c:dLbl>
            <c:dLbl>
              <c:idx val="4"/>
              <c:layout>
                <c:manualLayout>
                  <c:x val="8.7388191281878805E-3"/>
                  <c:y val="-1.2404205188343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645-4C3F-B7D2-F4285B7B37D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FootballField'!$C$88:$G$88</c:f>
              <c:strCache>
                <c:ptCount val="5"/>
                <c:pt idx="0">
                  <c:v>FY26E</c:v>
                </c:pt>
                <c:pt idx="1">
                  <c:v>FY27E</c:v>
                </c:pt>
                <c:pt idx="2">
                  <c:v>FY28E</c:v>
                </c:pt>
                <c:pt idx="3">
                  <c:v>FY29E</c:v>
                </c:pt>
                <c:pt idx="4">
                  <c:v>FY30E</c:v>
                </c:pt>
              </c:strCache>
            </c:strRef>
          </c:cat>
          <c:val>
            <c:numRef>
              <c:f>'Summary FootballField'!$C$90:$G$90</c:f>
              <c:numCache>
                <c:formatCode>\₹\ #,##0;\(\₹\ #,##0\);"-"</c:formatCode>
                <c:ptCount val="5"/>
                <c:pt idx="0">
                  <c:v>40.971564144833224</c:v>
                </c:pt>
                <c:pt idx="1">
                  <c:v>53.659799448686471</c:v>
                </c:pt>
                <c:pt idx="2">
                  <c:v>74.125925503546057</c:v>
                </c:pt>
                <c:pt idx="3">
                  <c:v>96.106266689420067</c:v>
                </c:pt>
                <c:pt idx="4">
                  <c:v>114.29222119122004</c:v>
                </c:pt>
              </c:numCache>
            </c:numRef>
          </c:val>
          <c:smooth val="0"/>
          <c:extLst>
            <c:ext xmlns:c16="http://schemas.microsoft.com/office/drawing/2014/chart" uri="{C3380CC4-5D6E-409C-BE32-E72D297353CC}">
              <c16:uniqueId val="{00000001-B645-4C3F-B7D2-F4285B7B37D0}"/>
            </c:ext>
          </c:extLst>
        </c:ser>
        <c:dLbls>
          <c:showLegendKey val="0"/>
          <c:showVal val="0"/>
          <c:showCatName val="0"/>
          <c:showSerName val="0"/>
          <c:showPercent val="0"/>
          <c:showBubbleSize val="0"/>
        </c:dLbls>
        <c:marker val="1"/>
        <c:smooth val="0"/>
        <c:axId val="218543423"/>
        <c:axId val="218546303"/>
      </c:lineChart>
      <c:catAx>
        <c:axId val="21854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546303"/>
        <c:crosses val="autoZero"/>
        <c:auto val="1"/>
        <c:lblAlgn val="ctr"/>
        <c:lblOffset val="100"/>
        <c:noMultiLvlLbl val="0"/>
      </c:catAx>
      <c:valAx>
        <c:axId val="218546303"/>
        <c:scaling>
          <c:orientation val="minMax"/>
        </c:scaling>
        <c:delete val="0"/>
        <c:axPos val="l"/>
        <c:numFmt formatCode="\₹\ #,##0;\(\₹\ #,##0\);&quot;-&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543423"/>
        <c:crosses val="autoZero"/>
        <c:crossBetween val="between"/>
      </c:valAx>
      <c:valAx>
        <c:axId val="218571743"/>
        <c:scaling>
          <c:orientation val="minMax"/>
          <c:max val="0.1"/>
        </c:scaling>
        <c:delete val="0"/>
        <c:axPos val="r"/>
        <c:numFmt formatCode="0.0%;\(0.0%\);&quot;-&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568863"/>
        <c:crosses val="max"/>
        <c:crossBetween val="between"/>
      </c:valAx>
      <c:catAx>
        <c:axId val="218568863"/>
        <c:scaling>
          <c:orientation val="minMax"/>
        </c:scaling>
        <c:delete val="1"/>
        <c:axPos val="b"/>
        <c:numFmt formatCode="General" sourceLinked="1"/>
        <c:majorTickMark val="out"/>
        <c:minorTickMark val="none"/>
        <c:tickLblPos val="nextTo"/>
        <c:crossAx val="218571743"/>
        <c:crossesAt val="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267349</xdr:colOff>
      <xdr:row>12</xdr:row>
      <xdr:rowOff>42864</xdr:rowOff>
    </xdr:from>
    <xdr:to>
      <xdr:col>1</xdr:col>
      <xdr:colOff>492919</xdr:colOff>
      <xdr:row>14</xdr:row>
      <xdr:rowOff>9645</xdr:rowOff>
    </xdr:to>
    <xdr:pic>
      <xdr:nvPicPr>
        <xdr:cNvPr id="3" name="Picture 2">
          <a:extLst>
            <a:ext uri="{FF2B5EF4-FFF2-40B4-BE49-F238E27FC236}">
              <a16:creationId xmlns:a16="http://schemas.microsoft.com/office/drawing/2014/main" id="{21D303DF-0E6E-6F79-86D7-1E5EF2C2306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64887" b="64887"/>
        <a:stretch>
          <a:fillRect/>
        </a:stretch>
      </xdr:blipFill>
      <xdr:spPr>
        <a:xfrm>
          <a:off x="426893" y="2947989"/>
          <a:ext cx="225570" cy="226337"/>
        </a:xfrm>
        <a:prstGeom prst="rect">
          <a:avLst/>
        </a:prstGeom>
      </xdr:spPr>
    </xdr:pic>
    <xdr:clientData/>
  </xdr:twoCellAnchor>
  <xdr:twoCellAnchor editAs="oneCell">
    <xdr:from>
      <xdr:col>1</xdr:col>
      <xdr:colOff>271335</xdr:colOff>
      <xdr:row>14</xdr:row>
      <xdr:rowOff>40482</xdr:rowOff>
    </xdr:from>
    <xdr:to>
      <xdr:col>1</xdr:col>
      <xdr:colOff>469243</xdr:colOff>
      <xdr:row>15</xdr:row>
      <xdr:rowOff>192746</xdr:rowOff>
    </xdr:to>
    <xdr:pic>
      <xdr:nvPicPr>
        <xdr:cNvPr id="4" name="Picture 3">
          <a:extLst>
            <a:ext uri="{FF2B5EF4-FFF2-40B4-BE49-F238E27FC236}">
              <a16:creationId xmlns:a16="http://schemas.microsoft.com/office/drawing/2014/main" id="{73542CDD-82DD-49F2-AEAB-375AC72788B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3180" t="2582" r="11707" b="62305"/>
        <a:stretch>
          <a:fillRect/>
        </a:stretch>
      </xdr:blipFill>
      <xdr:spPr>
        <a:xfrm>
          <a:off x="430879" y="3205163"/>
          <a:ext cx="197908" cy="197509"/>
        </a:xfrm>
        <a:prstGeom prst="rect">
          <a:avLst/>
        </a:prstGeom>
      </xdr:spPr>
    </xdr:pic>
    <xdr:clientData/>
  </xdr:twoCellAnchor>
  <xdr:twoCellAnchor editAs="oneCell">
    <xdr:from>
      <xdr:col>1</xdr:col>
      <xdr:colOff>249903</xdr:colOff>
      <xdr:row>16</xdr:row>
      <xdr:rowOff>26194</xdr:rowOff>
    </xdr:from>
    <xdr:to>
      <xdr:col>1</xdr:col>
      <xdr:colOff>505211</xdr:colOff>
      <xdr:row>18</xdr:row>
      <xdr:rowOff>38100</xdr:rowOff>
    </xdr:to>
    <xdr:pic>
      <xdr:nvPicPr>
        <xdr:cNvPr id="6" name="Picture 5">
          <a:extLst>
            <a:ext uri="{FF2B5EF4-FFF2-40B4-BE49-F238E27FC236}">
              <a16:creationId xmlns:a16="http://schemas.microsoft.com/office/drawing/2014/main" id="{E4096611-2304-4841-98FC-E605C3208FC9}"/>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3" t="39412" r="64940" b="25475"/>
        <a:stretch>
          <a:fillRect/>
        </a:stretch>
      </xdr:blipFill>
      <xdr:spPr>
        <a:xfrm>
          <a:off x="409447" y="3433763"/>
          <a:ext cx="255308" cy="254793"/>
        </a:xfrm>
        <a:prstGeom prst="rect">
          <a:avLst/>
        </a:prstGeom>
      </xdr:spPr>
    </xdr:pic>
    <xdr:clientData/>
  </xdr:twoCellAnchor>
  <xdr:twoCellAnchor editAs="oneCell">
    <xdr:from>
      <xdr:col>1</xdr:col>
      <xdr:colOff>266700</xdr:colOff>
      <xdr:row>19</xdr:row>
      <xdr:rowOff>21431</xdr:rowOff>
    </xdr:from>
    <xdr:to>
      <xdr:col>1</xdr:col>
      <xdr:colOff>489913</xdr:colOff>
      <xdr:row>20</xdr:row>
      <xdr:rowOff>26192</xdr:rowOff>
    </xdr:to>
    <xdr:pic>
      <xdr:nvPicPr>
        <xdr:cNvPr id="7" name="Picture 6">
          <a:extLst>
            <a:ext uri="{FF2B5EF4-FFF2-40B4-BE49-F238E27FC236}">
              <a16:creationId xmlns:a16="http://schemas.microsoft.com/office/drawing/2014/main" id="{E052D6E0-D80B-4B44-B6B0-28516912D9C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8762" t="39740" r="12593" b="25147"/>
        <a:stretch>
          <a:fillRect/>
        </a:stretch>
      </xdr:blipFill>
      <xdr:spPr>
        <a:xfrm>
          <a:off x="426244" y="3717131"/>
          <a:ext cx="223213" cy="202405"/>
        </a:xfrm>
        <a:prstGeom prst="rect">
          <a:avLst/>
        </a:prstGeom>
      </xdr:spPr>
    </xdr:pic>
    <xdr:clientData/>
  </xdr:twoCellAnchor>
  <xdr:twoCellAnchor editAs="oneCell">
    <xdr:from>
      <xdr:col>1</xdr:col>
      <xdr:colOff>298792</xdr:colOff>
      <xdr:row>21</xdr:row>
      <xdr:rowOff>17230</xdr:rowOff>
    </xdr:from>
    <xdr:to>
      <xdr:col>1</xdr:col>
      <xdr:colOff>501618</xdr:colOff>
      <xdr:row>22</xdr:row>
      <xdr:rowOff>29099</xdr:rowOff>
    </xdr:to>
    <xdr:pic>
      <xdr:nvPicPr>
        <xdr:cNvPr id="9" name="Picture 8">
          <a:extLst>
            <a:ext uri="{FF2B5EF4-FFF2-40B4-BE49-F238E27FC236}">
              <a16:creationId xmlns:a16="http://schemas.microsoft.com/office/drawing/2014/main" id="{A5081C1F-B3EE-855A-572F-E2001E66D75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920" r="62363" b="65201"/>
        <a:stretch>
          <a:fillRect/>
        </a:stretch>
      </xdr:blipFill>
      <xdr:spPr>
        <a:xfrm>
          <a:off x="459616" y="3959336"/>
          <a:ext cx="202826" cy="209070"/>
        </a:xfrm>
        <a:prstGeom prst="rect">
          <a:avLst/>
        </a:prstGeom>
      </xdr:spPr>
    </xdr:pic>
    <xdr:clientData/>
  </xdr:twoCellAnchor>
  <xdr:twoCellAnchor editAs="oneCell">
    <xdr:from>
      <xdr:col>1</xdr:col>
      <xdr:colOff>280795</xdr:colOff>
      <xdr:row>23</xdr:row>
      <xdr:rowOff>20294</xdr:rowOff>
    </xdr:from>
    <xdr:to>
      <xdr:col>1</xdr:col>
      <xdr:colOff>483621</xdr:colOff>
      <xdr:row>24</xdr:row>
      <xdr:rowOff>32163</xdr:rowOff>
    </xdr:to>
    <xdr:pic>
      <xdr:nvPicPr>
        <xdr:cNvPr id="10" name="Picture 9">
          <a:extLst>
            <a:ext uri="{FF2B5EF4-FFF2-40B4-BE49-F238E27FC236}">
              <a16:creationId xmlns:a16="http://schemas.microsoft.com/office/drawing/2014/main" id="{02A7E0C5-5697-45C1-AA4E-580B9D12F3B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61745" t="2231" r="5538" b="62970"/>
        <a:stretch>
          <a:fillRect/>
        </a:stretch>
      </xdr:blipFill>
      <xdr:spPr>
        <a:xfrm>
          <a:off x="441619" y="4205550"/>
          <a:ext cx="202826" cy="209070"/>
        </a:xfrm>
        <a:prstGeom prst="rect">
          <a:avLst/>
        </a:prstGeom>
      </xdr:spPr>
    </xdr:pic>
    <xdr:clientData/>
  </xdr:twoCellAnchor>
  <xdr:twoCellAnchor editAs="oneCell">
    <xdr:from>
      <xdr:col>1</xdr:col>
      <xdr:colOff>299176</xdr:colOff>
      <xdr:row>24</xdr:row>
      <xdr:rowOff>44418</xdr:rowOff>
    </xdr:from>
    <xdr:to>
      <xdr:col>1</xdr:col>
      <xdr:colOff>502002</xdr:colOff>
      <xdr:row>26</xdr:row>
      <xdr:rowOff>10337</xdr:rowOff>
    </xdr:to>
    <xdr:pic>
      <xdr:nvPicPr>
        <xdr:cNvPr id="11" name="Picture 10">
          <a:extLst>
            <a:ext uri="{FF2B5EF4-FFF2-40B4-BE49-F238E27FC236}">
              <a16:creationId xmlns:a16="http://schemas.microsoft.com/office/drawing/2014/main" id="{390D3E8D-2E05-4883-8010-46F500D368E8}"/>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082" t="36648" r="60201" b="28553"/>
        <a:stretch>
          <a:fillRect/>
        </a:stretch>
      </xdr:blipFill>
      <xdr:spPr>
        <a:xfrm>
          <a:off x="460000" y="4426875"/>
          <a:ext cx="202826" cy="209070"/>
        </a:xfrm>
        <a:prstGeom prst="rect">
          <a:avLst/>
        </a:prstGeom>
      </xdr:spPr>
    </xdr:pic>
    <xdr:clientData/>
  </xdr:twoCellAnchor>
  <xdr:twoCellAnchor editAs="oneCell">
    <xdr:from>
      <xdr:col>1</xdr:col>
      <xdr:colOff>294581</xdr:colOff>
      <xdr:row>27</xdr:row>
      <xdr:rowOff>9190</xdr:rowOff>
    </xdr:from>
    <xdr:to>
      <xdr:col>1</xdr:col>
      <xdr:colOff>497407</xdr:colOff>
      <xdr:row>28</xdr:row>
      <xdr:rowOff>21059</xdr:rowOff>
    </xdr:to>
    <xdr:pic>
      <xdr:nvPicPr>
        <xdr:cNvPr id="12" name="Picture 11">
          <a:extLst>
            <a:ext uri="{FF2B5EF4-FFF2-40B4-BE49-F238E27FC236}">
              <a16:creationId xmlns:a16="http://schemas.microsoft.com/office/drawing/2014/main" id="{249EEEFE-81DF-4E77-82BD-BCB3A5A2051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66996" t="36648" r="287" b="28553"/>
        <a:stretch>
          <a:fillRect/>
        </a:stretch>
      </xdr:blipFill>
      <xdr:spPr>
        <a:xfrm>
          <a:off x="455405" y="4680748"/>
          <a:ext cx="202826" cy="209070"/>
        </a:xfrm>
        <a:prstGeom prst="rect">
          <a:avLst/>
        </a:prstGeom>
      </xdr:spPr>
    </xdr:pic>
    <xdr:clientData/>
  </xdr:twoCellAnchor>
  <xdr:twoCellAnchor editAs="oneCell">
    <xdr:from>
      <xdr:col>1</xdr:col>
      <xdr:colOff>297645</xdr:colOff>
      <xdr:row>29</xdr:row>
      <xdr:rowOff>12030</xdr:rowOff>
    </xdr:from>
    <xdr:to>
      <xdr:col>1</xdr:col>
      <xdr:colOff>500471</xdr:colOff>
      <xdr:row>30</xdr:row>
      <xdr:rowOff>23899</xdr:rowOff>
    </xdr:to>
    <xdr:pic>
      <xdr:nvPicPr>
        <xdr:cNvPr id="13" name="Picture 12">
          <a:extLst>
            <a:ext uri="{FF2B5EF4-FFF2-40B4-BE49-F238E27FC236}">
              <a16:creationId xmlns:a16="http://schemas.microsoft.com/office/drawing/2014/main" id="{8C08EF95-F5A7-4C56-ACCF-A41624F86B9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36113" t="62462" r="31170" b="2740"/>
        <a:stretch>
          <a:fillRect/>
        </a:stretch>
      </xdr:blipFill>
      <xdr:spPr>
        <a:xfrm>
          <a:off x="456590" y="4929969"/>
          <a:ext cx="202826" cy="208212"/>
        </a:xfrm>
        <a:prstGeom prst="rect">
          <a:avLst/>
        </a:prstGeom>
      </xdr:spPr>
    </xdr:pic>
    <xdr:clientData/>
  </xdr:twoCellAnchor>
  <xdr:twoCellAnchor editAs="absolute">
    <xdr:from>
      <xdr:col>12</xdr:col>
      <xdr:colOff>82178</xdr:colOff>
      <xdr:row>4</xdr:row>
      <xdr:rowOff>20400</xdr:rowOff>
    </xdr:from>
    <xdr:to>
      <xdr:col>23</xdr:col>
      <xdr:colOff>298824</xdr:colOff>
      <xdr:row>33</xdr:row>
      <xdr:rowOff>5485</xdr:rowOff>
    </xdr:to>
    <xdr:pic>
      <xdr:nvPicPr>
        <xdr:cNvPr id="14" name="Picture 13">
          <a:extLst>
            <a:ext uri="{FF2B5EF4-FFF2-40B4-BE49-F238E27FC236}">
              <a16:creationId xmlns:a16="http://schemas.microsoft.com/office/drawing/2014/main" id="{160E2988-8A11-D5FC-1E46-DBD638F1E405}"/>
            </a:ext>
          </a:extLst>
        </xdr:cNvPr>
        <xdr:cNvPicPr>
          <a:picLocks noChangeAspect="1"/>
        </xdr:cNvPicPr>
      </xdr:nvPicPr>
      <xdr:blipFill rotWithShape="1">
        <a:blip xmlns:r="http://schemas.openxmlformats.org/officeDocument/2006/relationships" r:embed="rId7">
          <a:alphaModFix/>
          <a:extLst>
            <a:ext uri="{BEBA8EAE-BF5A-486C-A8C5-ECC9F3942E4B}">
              <a14:imgProps xmlns:a14="http://schemas.microsoft.com/office/drawing/2010/main">
                <a14:imgLayer r:embed="rId8">
                  <a14:imgEffect>
                    <a14:sharpenSoften amount="-24000"/>
                  </a14:imgEffect>
                  <a14:imgEffect>
                    <a14:saturation sat="50000"/>
                  </a14:imgEffect>
                </a14:imgLayer>
              </a14:imgProps>
            </a:ext>
            <a:ext uri="{28A0092B-C50C-407E-A947-70E740481C1C}">
              <a14:useLocalDpi xmlns:a14="http://schemas.microsoft.com/office/drawing/2010/main" val="0"/>
            </a:ext>
          </a:extLst>
        </a:blip>
        <a:srcRect t="43494" b="9982"/>
        <a:stretch>
          <a:fillRect/>
        </a:stretch>
      </xdr:blipFill>
      <xdr:spPr>
        <a:xfrm>
          <a:off x="6925237" y="939282"/>
          <a:ext cx="6955116" cy="3966909"/>
        </a:xfrm>
        <a:prstGeom prst="rect">
          <a:avLst/>
        </a:prstGeom>
      </xdr:spPr>
    </xdr:pic>
    <xdr:clientData/>
  </xdr:twoCellAnchor>
  <xdr:twoCellAnchor editAs="absolute">
    <xdr:from>
      <xdr:col>16</xdr:col>
      <xdr:colOff>298696</xdr:colOff>
      <xdr:row>7</xdr:row>
      <xdr:rowOff>208274</xdr:rowOff>
    </xdr:from>
    <xdr:to>
      <xdr:col>19</xdr:col>
      <xdr:colOff>133165</xdr:colOff>
      <xdr:row>21</xdr:row>
      <xdr:rowOff>187390</xdr:rowOff>
    </xdr:to>
    <xdr:pic>
      <xdr:nvPicPr>
        <xdr:cNvPr id="18" name="Picture 17">
          <a:extLst>
            <a:ext uri="{FF2B5EF4-FFF2-40B4-BE49-F238E27FC236}">
              <a16:creationId xmlns:a16="http://schemas.microsoft.com/office/drawing/2014/main" id="{D8606D6F-02B1-93FD-EE62-81AE1520E64A}"/>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17845" t="16836" r="19192" b="14478"/>
        <a:stretch>
          <a:fillRect/>
        </a:stretch>
      </xdr:blipFill>
      <xdr:spPr>
        <a:xfrm>
          <a:off x="9516677" y="1517730"/>
          <a:ext cx="1654391" cy="1813835"/>
        </a:xfrm>
        <a:prstGeom prst="rect">
          <a:avLst/>
        </a:prstGeom>
      </xdr:spPr>
    </xdr:pic>
    <xdr:clientData/>
  </xdr:twoCellAnchor>
  <xdr:twoCellAnchor editAs="absolute">
    <xdr:from>
      <xdr:col>17</xdr:col>
      <xdr:colOff>584327</xdr:colOff>
      <xdr:row>1</xdr:row>
      <xdr:rowOff>134532</xdr:rowOff>
    </xdr:from>
    <xdr:to>
      <xdr:col>22</xdr:col>
      <xdr:colOff>599242</xdr:colOff>
      <xdr:row>7</xdr:row>
      <xdr:rowOff>59184</xdr:rowOff>
    </xdr:to>
    <xdr:pic>
      <xdr:nvPicPr>
        <xdr:cNvPr id="24" name="Picture 23">
          <a:extLst>
            <a:ext uri="{FF2B5EF4-FFF2-40B4-BE49-F238E27FC236}">
              <a16:creationId xmlns:a16="http://schemas.microsoft.com/office/drawing/2014/main" id="{3543050D-6D7C-6EF6-DC32-293A5180EAA4}"/>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t="37547" b="38267"/>
        <a:stretch>
          <a:fillRect/>
        </a:stretch>
      </xdr:blipFill>
      <xdr:spPr>
        <a:xfrm>
          <a:off x="10408948" y="319483"/>
          <a:ext cx="3048119" cy="10491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146072</xdr:colOff>
      <xdr:row>29</xdr:row>
      <xdr:rowOff>24596</xdr:rowOff>
    </xdr:from>
    <xdr:to>
      <xdr:col>9</xdr:col>
      <xdr:colOff>930</xdr:colOff>
      <xdr:row>49</xdr:row>
      <xdr:rowOff>173559</xdr:rowOff>
    </xdr:to>
    <xdr:graphicFrame macro="">
      <xdr:nvGraphicFramePr>
        <xdr:cNvPr id="4" name="Chart 3">
          <a:extLst>
            <a:ext uri="{FF2B5EF4-FFF2-40B4-BE49-F238E27FC236}">
              <a16:creationId xmlns:a16="http://schemas.microsoft.com/office/drawing/2014/main" id="{1CD348D0-148C-2E73-A925-9C44CAD95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195813</xdr:colOff>
      <xdr:row>31</xdr:row>
      <xdr:rowOff>110278</xdr:rowOff>
    </xdr:from>
    <xdr:to>
      <xdr:col>5</xdr:col>
      <xdr:colOff>195813</xdr:colOff>
      <xdr:row>51</xdr:row>
      <xdr:rowOff>1420</xdr:rowOff>
    </xdr:to>
    <xdr:cxnSp macro="">
      <xdr:nvCxnSpPr>
        <xdr:cNvPr id="8" name="Straight Connector 7">
          <a:extLst>
            <a:ext uri="{FF2B5EF4-FFF2-40B4-BE49-F238E27FC236}">
              <a16:creationId xmlns:a16="http://schemas.microsoft.com/office/drawing/2014/main" id="{ABCE682A-DF92-0C8D-8E06-8B3AEC954FD8}"/>
            </a:ext>
          </a:extLst>
        </xdr:cNvPr>
        <xdr:cNvCxnSpPr/>
      </xdr:nvCxnSpPr>
      <xdr:spPr>
        <a:xfrm>
          <a:off x="6476611" y="6441197"/>
          <a:ext cx="0" cy="3771122"/>
        </a:xfrm>
        <a:prstGeom prst="line">
          <a:avLst/>
        </a:prstGeom>
        <a:ln w="22225">
          <a:solidFill>
            <a:srgbClr val="031D56"/>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523241</xdr:colOff>
      <xdr:row>50</xdr:row>
      <xdr:rowOff>168049</xdr:rowOff>
    </xdr:from>
    <xdr:to>
      <xdr:col>6</xdr:col>
      <xdr:colOff>68580</xdr:colOff>
      <xdr:row>53</xdr:row>
      <xdr:rowOff>58528</xdr:rowOff>
    </xdr:to>
    <xdr:sp macro="" textlink="">
      <xdr:nvSpPr>
        <xdr:cNvPr id="13" name="Rectangle 12">
          <a:extLst>
            <a:ext uri="{FF2B5EF4-FFF2-40B4-BE49-F238E27FC236}">
              <a16:creationId xmlns:a16="http://schemas.microsoft.com/office/drawing/2014/main" id="{B449060C-D4D1-E8C7-F54C-7BCAF44EA672}"/>
            </a:ext>
          </a:extLst>
        </xdr:cNvPr>
        <xdr:cNvSpPr/>
      </xdr:nvSpPr>
      <xdr:spPr>
        <a:xfrm>
          <a:off x="5844541" y="10004334"/>
          <a:ext cx="1280159" cy="442686"/>
        </a:xfrm>
        <a:prstGeom prst="rect">
          <a:avLst/>
        </a:prstGeom>
        <a:solidFill>
          <a:srgbClr val="031D5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Torrent Deal Value</a:t>
          </a:r>
          <a:br>
            <a:rPr lang="en-IN" sz="1100" b="1"/>
          </a:br>
          <a:r>
            <a:rPr lang="en-IN" sz="1100" b="1"/>
            <a:t>₹25,680</a:t>
          </a:r>
        </a:p>
      </xdr:txBody>
    </xdr:sp>
    <xdr:clientData/>
  </xdr:twoCellAnchor>
  <xdr:twoCellAnchor>
    <xdr:from>
      <xdr:col>1</xdr:col>
      <xdr:colOff>722138</xdr:colOff>
      <xdr:row>69</xdr:row>
      <xdr:rowOff>62084</xdr:rowOff>
    </xdr:from>
    <xdr:to>
      <xdr:col>6</xdr:col>
      <xdr:colOff>440997</xdr:colOff>
      <xdr:row>85</xdr:row>
      <xdr:rowOff>84429</xdr:rowOff>
    </xdr:to>
    <xdr:graphicFrame macro="">
      <xdr:nvGraphicFramePr>
        <xdr:cNvPr id="19" name="Chart 18">
          <a:extLst>
            <a:ext uri="{FF2B5EF4-FFF2-40B4-BE49-F238E27FC236}">
              <a16:creationId xmlns:a16="http://schemas.microsoft.com/office/drawing/2014/main" id="{5904B515-D6FB-511A-780E-0F56D389E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1212554</xdr:colOff>
      <xdr:row>93</xdr:row>
      <xdr:rowOff>12652</xdr:rowOff>
    </xdr:from>
    <xdr:to>
      <xdr:col>6</xdr:col>
      <xdr:colOff>457200</xdr:colOff>
      <xdr:row>108</xdr:row>
      <xdr:rowOff>174737</xdr:rowOff>
    </xdr:to>
    <xdr:graphicFrame macro="">
      <xdr:nvGraphicFramePr>
        <xdr:cNvPr id="20" name="Chart 19">
          <a:extLst>
            <a:ext uri="{FF2B5EF4-FFF2-40B4-BE49-F238E27FC236}">
              <a16:creationId xmlns:a16="http://schemas.microsoft.com/office/drawing/2014/main" id="{6BF6EF2A-C9A2-CC03-C6F0-AC48A16D1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1727860</xdr:colOff>
      <xdr:row>98</xdr:row>
      <xdr:rowOff>83128</xdr:rowOff>
    </xdr:from>
    <xdr:to>
      <xdr:col>5</xdr:col>
      <xdr:colOff>681841</xdr:colOff>
      <xdr:row>98</xdr:row>
      <xdr:rowOff>83128</xdr:rowOff>
    </xdr:to>
    <xdr:cxnSp macro="">
      <xdr:nvCxnSpPr>
        <xdr:cNvPr id="24" name="Straight Connector 23">
          <a:extLst>
            <a:ext uri="{FF2B5EF4-FFF2-40B4-BE49-F238E27FC236}">
              <a16:creationId xmlns:a16="http://schemas.microsoft.com/office/drawing/2014/main" id="{9C4F7CBF-27A8-99E7-E468-E5CEBFB536AF}"/>
            </a:ext>
          </a:extLst>
        </xdr:cNvPr>
        <xdr:cNvCxnSpPr/>
      </xdr:nvCxnSpPr>
      <xdr:spPr>
        <a:xfrm>
          <a:off x="1887517" y="18545299"/>
          <a:ext cx="6203867" cy="0"/>
        </a:xfrm>
        <a:prstGeom prst="line">
          <a:avLst/>
        </a:prstGeom>
        <a:ln w="952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c:userShapes xmlns:c="http://schemas.openxmlformats.org/drawingml/2006/chart">
  <cdr:relSizeAnchor xmlns:cdr="http://schemas.openxmlformats.org/drawingml/2006/chartDrawing">
    <cdr:from>
      <cdr:x>0.00584</cdr:x>
      <cdr:y>0.35732</cdr:y>
    </cdr:from>
    <cdr:to>
      <cdr:x>0.9818</cdr:x>
      <cdr:y>0.35732</cdr:y>
    </cdr:to>
    <cdr:cxnSp macro="">
      <cdr:nvCxnSpPr>
        <cdr:cNvPr id="3" name="Straight Connector 2">
          <a:extLst xmlns:a="http://schemas.openxmlformats.org/drawingml/2006/main">
            <a:ext uri="{FF2B5EF4-FFF2-40B4-BE49-F238E27FC236}">
              <a16:creationId xmlns:a16="http://schemas.microsoft.com/office/drawing/2014/main" id="{E780E5AD-8F8A-F1F5-9AF9-68C43E0ADE11}"/>
            </a:ext>
          </a:extLst>
        </cdr:cNvPr>
        <cdr:cNvCxnSpPr/>
      </cdr:nvCxnSpPr>
      <cdr:spPr>
        <a:xfrm xmlns:a="http://schemas.openxmlformats.org/drawingml/2006/main">
          <a:off x="58035" y="1413152"/>
          <a:ext cx="9697145" cy="0"/>
        </a:xfrm>
        <a:prstGeom xmlns:a="http://schemas.openxmlformats.org/drawingml/2006/main" prst="line">
          <a:avLst/>
        </a:prstGeom>
        <a:ln xmlns:a="http://schemas.openxmlformats.org/drawingml/2006/main" w="9525">
          <a:solidFill>
            <a:srgbClr val="C8880A"/>
          </a:solidFill>
          <a:prstDash val="sys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0.00242</cdr:x>
      <cdr:y>0.59944</cdr:y>
    </cdr:from>
    <cdr:to>
      <cdr:x>0.98027</cdr:x>
      <cdr:y>0.59944</cdr:y>
    </cdr:to>
    <cdr:cxnSp macro="">
      <cdr:nvCxnSpPr>
        <cdr:cNvPr id="7" name="Straight Connector 6">
          <a:extLst xmlns:a="http://schemas.openxmlformats.org/drawingml/2006/main">
            <a:ext uri="{FF2B5EF4-FFF2-40B4-BE49-F238E27FC236}">
              <a16:creationId xmlns:a16="http://schemas.microsoft.com/office/drawing/2014/main" id="{DD3099E6-26C7-539F-1F0A-297C02701AAA}"/>
            </a:ext>
          </a:extLst>
        </cdr:cNvPr>
        <cdr:cNvCxnSpPr/>
      </cdr:nvCxnSpPr>
      <cdr:spPr>
        <a:xfrm xmlns:a="http://schemas.openxmlformats.org/drawingml/2006/main">
          <a:off x="24017" y="2370732"/>
          <a:ext cx="9715922" cy="0"/>
        </a:xfrm>
        <a:prstGeom xmlns:a="http://schemas.openxmlformats.org/drawingml/2006/main" prst="line">
          <a:avLst/>
        </a:prstGeom>
        <a:ln xmlns:a="http://schemas.openxmlformats.org/drawingml/2006/main" w="9525">
          <a:solidFill>
            <a:srgbClr val="689EE0"/>
          </a:solidFill>
          <a:prstDash val="sys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0.00379</cdr:x>
      <cdr:y>0.84734</cdr:y>
    </cdr:from>
    <cdr:to>
      <cdr:x>0.98538</cdr:x>
      <cdr:y>0.84734</cdr:y>
    </cdr:to>
    <cdr:cxnSp macro="">
      <cdr:nvCxnSpPr>
        <cdr:cNvPr id="8" name="Straight Connector 7">
          <a:extLst xmlns:a="http://schemas.openxmlformats.org/drawingml/2006/main">
            <a:ext uri="{FF2B5EF4-FFF2-40B4-BE49-F238E27FC236}">
              <a16:creationId xmlns:a16="http://schemas.microsoft.com/office/drawing/2014/main" id="{B1B27F97-95FE-2238-1A4D-35FE53C3895C}"/>
            </a:ext>
          </a:extLst>
        </cdr:cNvPr>
        <cdr:cNvCxnSpPr/>
      </cdr:nvCxnSpPr>
      <cdr:spPr>
        <a:xfrm xmlns:a="http://schemas.openxmlformats.org/drawingml/2006/main">
          <a:off x="37624" y="3351172"/>
          <a:ext cx="9753119" cy="0"/>
        </a:xfrm>
        <a:prstGeom xmlns:a="http://schemas.openxmlformats.org/drawingml/2006/main" prst="line">
          <a:avLst/>
        </a:prstGeom>
        <a:ln xmlns:a="http://schemas.openxmlformats.org/drawingml/2006/main" w="9525">
          <a:solidFill>
            <a:srgbClr val="2D51B7"/>
          </a:solidFill>
          <a:prstDash val="sys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7378-A6F6-466C-AEED-C04778B102AB}">
  <sheetPr>
    <pageSetUpPr fitToPage="1"/>
  </sheetPr>
  <dimension ref="B2:I32"/>
  <sheetViews>
    <sheetView showGridLines="0" tabSelected="1" zoomScale="102" zoomScaleNormal="102" zoomScaleSheetLayoutView="80" workbookViewId="0"/>
  </sheetViews>
  <sheetFormatPr defaultRowHeight="14.4" x14ac:dyDescent="0.3"/>
  <cols>
    <col min="1" max="1" width="2.33203125" customWidth="1"/>
    <col min="3" max="3" width="12.77734375" customWidth="1"/>
    <col min="7" max="7" width="4.33203125" customWidth="1"/>
    <col min="24" max="24" width="4.6640625" customWidth="1"/>
  </cols>
  <sheetData>
    <row r="2" spans="2:9" ht="15" thickBot="1" x14ac:dyDescent="0.35">
      <c r="B2" s="3" t="s">
        <v>313</v>
      </c>
      <c r="C2" s="4"/>
    </row>
    <row r="4" spans="2:9" ht="28.8" customHeight="1" thickBot="1" x14ac:dyDescent="0.7">
      <c r="B4" s="5" t="s">
        <v>314</v>
      </c>
      <c r="C4" s="6"/>
      <c r="D4" s="6"/>
      <c r="E4" s="6"/>
      <c r="F4" s="6"/>
      <c r="G4" s="6"/>
      <c r="H4" s="6"/>
      <c r="I4" s="6"/>
    </row>
    <row r="5" spans="2:9" ht="9" customHeight="1" thickTop="1" x14ac:dyDescent="0.3"/>
    <row r="6" spans="2:9" ht="3.6" customHeight="1" x14ac:dyDescent="0.3"/>
    <row r="7" spans="2:9" ht="18" x14ac:dyDescent="0.35">
      <c r="B7" s="7" t="s">
        <v>315</v>
      </c>
    </row>
    <row r="8" spans="2:9" ht="23.4" x14ac:dyDescent="0.45">
      <c r="B8" s="8" t="s">
        <v>316</v>
      </c>
    </row>
    <row r="9" spans="2:9" ht="5.4" customHeight="1" thickBot="1" x14ac:dyDescent="0.35"/>
    <row r="10" spans="2:9" ht="8.4" customHeight="1" thickTop="1" x14ac:dyDescent="0.3">
      <c r="B10" s="9"/>
    </row>
    <row r="11" spans="2:9" ht="7.8" customHeight="1" x14ac:dyDescent="0.3"/>
    <row r="12" spans="2:9" ht="18.600000000000001" thickBot="1" x14ac:dyDescent="0.4">
      <c r="B12" s="258" t="s">
        <v>317</v>
      </c>
      <c r="C12" s="258"/>
      <c r="D12" s="258"/>
      <c r="E12" s="258"/>
      <c r="F12" s="258"/>
      <c r="G12" s="258"/>
      <c r="I12" s="10"/>
    </row>
    <row r="13" spans="2:9" ht="4.95" customHeight="1" x14ac:dyDescent="0.3"/>
    <row r="14" spans="2:9" ht="15.6" x14ac:dyDescent="0.3">
      <c r="C14" s="259" t="s">
        <v>318</v>
      </c>
      <c r="D14" s="259"/>
      <c r="E14" s="259"/>
      <c r="F14" s="259"/>
      <c r="G14" s="259"/>
    </row>
    <row r="15" spans="2:9" ht="3.75" customHeight="1" x14ac:dyDescent="0.3">
      <c r="C15" s="11"/>
      <c r="D15" s="12"/>
      <c r="E15" s="12"/>
      <c r="F15" s="12"/>
      <c r="G15" s="12"/>
    </row>
    <row r="16" spans="2:9" ht="15.6" x14ac:dyDescent="0.3">
      <c r="C16" s="259" t="s">
        <v>319</v>
      </c>
      <c r="D16" s="259"/>
      <c r="E16" s="259"/>
      <c r="F16" s="259"/>
      <c r="G16" s="259"/>
    </row>
    <row r="17" spans="2:7" ht="3.75" customHeight="1" x14ac:dyDescent="0.3">
      <c r="C17" s="11"/>
      <c r="D17" s="12"/>
      <c r="E17" s="12"/>
      <c r="F17" s="12"/>
      <c r="G17" s="12"/>
    </row>
    <row r="18" spans="2:7" ht="15.6" x14ac:dyDescent="0.3">
      <c r="C18" s="259" t="s">
        <v>320</v>
      </c>
      <c r="D18" s="259"/>
      <c r="E18" s="259"/>
      <c r="F18" s="259"/>
      <c r="G18" s="259"/>
    </row>
    <row r="19" spans="2:7" ht="3.75" customHeight="1" x14ac:dyDescent="0.3">
      <c r="C19" s="11"/>
      <c r="D19" s="12"/>
      <c r="E19" s="12"/>
      <c r="F19" s="12"/>
      <c r="G19" s="12"/>
    </row>
    <row r="20" spans="2:7" ht="15.6" x14ac:dyDescent="0.3">
      <c r="C20" s="259" t="s">
        <v>321</v>
      </c>
      <c r="D20" s="259"/>
      <c r="E20" s="259"/>
      <c r="F20" s="259"/>
      <c r="G20" s="259"/>
    </row>
    <row r="21" spans="2:7" ht="3.75" customHeight="1" x14ac:dyDescent="0.3">
      <c r="C21" s="11"/>
      <c r="D21" s="13"/>
      <c r="E21" s="13"/>
      <c r="F21" s="13"/>
      <c r="G21" s="13"/>
    </row>
    <row r="22" spans="2:7" ht="15.6" x14ac:dyDescent="0.3">
      <c r="C22" s="259" t="s">
        <v>322</v>
      </c>
      <c r="D22" s="259"/>
      <c r="E22" s="259"/>
      <c r="F22" s="259"/>
      <c r="G22" s="259"/>
    </row>
    <row r="23" spans="2:7" ht="3.75" customHeight="1" x14ac:dyDescent="0.3">
      <c r="C23" s="11"/>
      <c r="D23" s="12"/>
      <c r="E23" s="12"/>
      <c r="F23" s="12"/>
      <c r="G23" s="12"/>
    </row>
    <row r="24" spans="2:7" ht="15.6" x14ac:dyDescent="0.3">
      <c r="C24" s="259" t="s">
        <v>323</v>
      </c>
      <c r="D24" s="259"/>
      <c r="E24" s="259"/>
      <c r="F24" s="259"/>
      <c r="G24" s="12"/>
    </row>
    <row r="25" spans="2:7" ht="3.75" customHeight="1" x14ac:dyDescent="0.3">
      <c r="C25" s="11"/>
      <c r="D25" s="12"/>
      <c r="E25" s="12"/>
      <c r="F25" s="12"/>
      <c r="G25" s="12"/>
    </row>
    <row r="26" spans="2:7" ht="15.6" x14ac:dyDescent="0.3">
      <c r="C26" s="259" t="s">
        <v>324</v>
      </c>
      <c r="D26" s="259"/>
      <c r="E26" s="259"/>
      <c r="F26" s="259"/>
      <c r="G26" s="259"/>
    </row>
    <row r="27" spans="2:7" ht="3.75" customHeight="1" x14ac:dyDescent="0.3">
      <c r="C27" s="11"/>
      <c r="D27" s="12"/>
      <c r="E27" s="12"/>
      <c r="F27" s="12"/>
      <c r="G27" s="12"/>
    </row>
    <row r="28" spans="2:7" ht="15.6" x14ac:dyDescent="0.3">
      <c r="C28" s="259" t="s">
        <v>325</v>
      </c>
      <c r="D28" s="259"/>
      <c r="E28" s="259"/>
      <c r="F28" s="259"/>
      <c r="G28" s="12"/>
    </row>
    <row r="29" spans="2:7" ht="3.75" customHeight="1" x14ac:dyDescent="0.3">
      <c r="C29" s="11"/>
      <c r="D29" s="12"/>
      <c r="E29" s="12"/>
      <c r="F29" s="12"/>
      <c r="G29" s="12"/>
    </row>
    <row r="30" spans="2:7" ht="15.6" x14ac:dyDescent="0.3">
      <c r="C30" s="259" t="s">
        <v>326</v>
      </c>
      <c r="D30" s="259"/>
      <c r="E30" s="259"/>
      <c r="F30" s="259"/>
      <c r="G30" s="259"/>
    </row>
    <row r="32" spans="2:7" ht="15" thickBot="1" x14ac:dyDescent="0.35">
      <c r="B32" s="14" t="s">
        <v>327</v>
      </c>
      <c r="C32" s="4"/>
      <c r="D32" s="4"/>
      <c r="E32" s="4"/>
      <c r="F32" s="4"/>
      <c r="G32" s="4"/>
    </row>
  </sheetData>
  <mergeCells count="10">
    <mergeCell ref="C22:G22"/>
    <mergeCell ref="C24:F24"/>
    <mergeCell ref="C26:G26"/>
    <mergeCell ref="C28:F28"/>
    <mergeCell ref="C30:G30"/>
    <mergeCell ref="B12:G12"/>
    <mergeCell ref="C14:G14"/>
    <mergeCell ref="C16:G16"/>
    <mergeCell ref="C18:G18"/>
    <mergeCell ref="C20:G20"/>
  </mergeCells>
  <hyperlinks>
    <hyperlink ref="C14:G14" location="Assumptions!A1" display="Assumptions &amp; Operating Drivers" xr:uid="{DD61395E-950B-413E-A325-23664648F9F3}"/>
    <hyperlink ref="C16:G16" location="'Standalone Torrent'!A1" display="Standalone Financial Model — Torrent Pharma" xr:uid="{0D1C994B-E49E-4528-BBEC-424606A32228}"/>
    <hyperlink ref="C18:G18" location="'Standalone JBChem'!A1" display="Standalone Financial Model — JB Chemicals" xr:uid="{8B643C86-B1EB-4CA7-BF34-DD94E6DD72BD}"/>
    <hyperlink ref="C20:G20" location="Synergies!A1" display="Revenue &amp; Cost Synergies" xr:uid="{83BCF3E6-BDC3-4660-8F63-89F695378109}"/>
    <hyperlink ref="C22:G22" location="'Deal Mechanics'!A1" display="Deal Structure Analysis" xr:uid="{AA8B93F3-7E1E-4964-B5F9-C1B5415C867D}"/>
    <hyperlink ref="C24:F24" location="'ProForma Combined'!A1" display="Pro Forma Merger Financials" xr:uid="{D1F42DF6-CA90-4D54-BE44-EA9E95A0EAB5}"/>
    <hyperlink ref="C26:G26" location="'Accretion Dilution'!A1" display="EPS Accretion / Dilution Analysis" xr:uid="{45CCCE1F-A1D1-4077-8F67-781A6A9B57EF}"/>
    <hyperlink ref="C28:F28" location="Valuation!A1" display="Integrated Valuation Framework" xr:uid="{2711EF0F-36B3-4E1A-B46C-0CA2AE07E047}"/>
    <hyperlink ref="C30:G30" location="Summary_FootballField!A1" display="Football Field Valuation Summary" xr:uid="{FF71423D-2CAA-4FB4-874A-A841858D46AB}"/>
  </hyperlinks>
  <pageMargins left="0.7" right="0.54" top="2.19" bottom="0.75" header="0.3" footer="0.3"/>
  <pageSetup scale="61"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3"/>
  <sheetViews>
    <sheetView showGridLines="0" zoomScaleNormal="100" workbookViewId="0">
      <pane xSplit="2" ySplit="4" topLeftCell="C5" activePane="bottomRight" state="frozen"/>
      <selection pane="topRight" activeCell="B1" sqref="B1"/>
      <selection pane="bottomLeft" activeCell="A5" sqref="A5"/>
      <selection pane="bottomRight"/>
    </sheetView>
  </sheetViews>
  <sheetFormatPr defaultColWidth="8.6640625" defaultRowHeight="14.4" x14ac:dyDescent="0.3"/>
  <cols>
    <col min="1" max="1" width="2.33203125" style="1" customWidth="1"/>
    <col min="2" max="2" width="66" style="1" bestFit="1" customWidth="1"/>
    <col min="3" max="10" width="10" style="1" customWidth="1"/>
    <col min="11" max="11" width="60" style="1" customWidth="1"/>
    <col min="12" max="16384" width="8.6640625" style="1"/>
  </cols>
  <sheetData>
    <row r="1" spans="1:10" ht="15.75" customHeight="1" x14ac:dyDescent="0.3">
      <c r="B1" s="260" t="s">
        <v>299</v>
      </c>
      <c r="C1" s="261"/>
      <c r="D1" s="261"/>
      <c r="E1" s="261"/>
      <c r="F1" s="261"/>
      <c r="G1" s="261"/>
      <c r="H1" s="261"/>
      <c r="I1" s="261"/>
      <c r="J1" s="261"/>
    </row>
    <row r="2" spans="1:10" ht="15" customHeight="1" x14ac:dyDescent="0.3">
      <c r="B2" s="262" t="s">
        <v>0</v>
      </c>
      <c r="C2" s="263"/>
      <c r="D2" s="263"/>
      <c r="E2" s="263"/>
      <c r="F2" s="263"/>
      <c r="G2" s="263"/>
      <c r="H2" s="263"/>
      <c r="I2" s="263"/>
      <c r="J2" s="263"/>
    </row>
    <row r="4" spans="1:10" ht="15" customHeight="1" x14ac:dyDescent="0.3">
      <c r="A4" s="1" t="s">
        <v>286</v>
      </c>
      <c r="B4" s="15" t="s">
        <v>1</v>
      </c>
      <c r="C4" s="16" t="s">
        <v>2</v>
      </c>
      <c r="D4" s="16" t="s">
        <v>3</v>
      </c>
      <c r="E4" s="16" t="s">
        <v>4</v>
      </c>
      <c r="F4" s="16" t="s">
        <v>5</v>
      </c>
      <c r="G4" s="16" t="s">
        <v>6</v>
      </c>
      <c r="H4" s="16" t="s">
        <v>7</v>
      </c>
      <c r="I4" s="16" t="s">
        <v>8</v>
      </c>
      <c r="J4" s="16" t="s">
        <v>9</v>
      </c>
    </row>
    <row r="5" spans="1:10" ht="15" customHeight="1" x14ac:dyDescent="0.3">
      <c r="B5" s="17" t="s">
        <v>10</v>
      </c>
      <c r="C5" s="17"/>
      <c r="D5" s="17"/>
      <c r="E5" s="17"/>
      <c r="F5" s="17"/>
      <c r="G5" s="17"/>
      <c r="H5" s="17"/>
      <c r="I5" s="17"/>
      <c r="J5" s="17"/>
    </row>
    <row r="6" spans="1:10" ht="20.25" customHeight="1" x14ac:dyDescent="0.3">
      <c r="B6" s="18" t="s">
        <v>11</v>
      </c>
      <c r="C6" s="19" t="s">
        <v>12</v>
      </c>
      <c r="D6" s="19">
        <v>0.10630000000000001</v>
      </c>
      <c r="E6" s="19">
        <v>0.1245</v>
      </c>
      <c r="F6" s="20">
        <v>0.12</v>
      </c>
      <c r="G6" s="20">
        <v>0.13</v>
      </c>
      <c r="H6" s="20">
        <v>0.13</v>
      </c>
      <c r="I6" s="20">
        <v>0.11</v>
      </c>
      <c r="J6" s="20">
        <v>0.1</v>
      </c>
    </row>
    <row r="7" spans="1:10" ht="15" customHeight="1" x14ac:dyDescent="0.3">
      <c r="B7" s="18" t="s">
        <v>13</v>
      </c>
      <c r="C7" s="19">
        <v>0.628</v>
      </c>
      <c r="D7" s="19">
        <v>0.66</v>
      </c>
      <c r="E7" s="19">
        <v>0.66400000000000003</v>
      </c>
      <c r="F7" s="20">
        <v>0.67</v>
      </c>
      <c r="G7" s="20">
        <v>0.67500000000000004</v>
      </c>
      <c r="H7" s="20">
        <v>0.68</v>
      </c>
      <c r="I7" s="20">
        <v>0.68200000000000005</v>
      </c>
      <c r="J7" s="20">
        <v>0.68400000000000005</v>
      </c>
    </row>
    <row r="8" spans="1:10" ht="20.25" customHeight="1" x14ac:dyDescent="0.3">
      <c r="B8" s="18" t="s">
        <v>14</v>
      </c>
      <c r="C8" s="19">
        <v>0.221</v>
      </c>
      <c r="D8" s="19">
        <v>0.27</v>
      </c>
      <c r="E8" s="19">
        <v>0.27700000000000002</v>
      </c>
      <c r="F8" s="20">
        <v>0.28499999999999998</v>
      </c>
      <c r="G8" s="20">
        <v>0.28999999999999998</v>
      </c>
      <c r="H8" s="20">
        <v>0.29499999999999998</v>
      </c>
      <c r="I8" s="20">
        <v>0.29799999999999999</v>
      </c>
      <c r="J8" s="20">
        <v>0.3</v>
      </c>
    </row>
    <row r="9" spans="1:10" ht="20.25" customHeight="1" x14ac:dyDescent="0.3">
      <c r="B9" s="18" t="s">
        <v>15</v>
      </c>
      <c r="C9" s="19">
        <v>3.6200000000000003E-2</v>
      </c>
      <c r="D9" s="19">
        <v>3.9600000000000003E-2</v>
      </c>
      <c r="E9" s="19">
        <v>4.3700000000000003E-2</v>
      </c>
      <c r="F9" s="20">
        <v>4.2999999999999997E-2</v>
      </c>
      <c r="G9" s="20">
        <v>4.2000000000000003E-2</v>
      </c>
      <c r="H9" s="20">
        <v>4.1000000000000002E-2</v>
      </c>
      <c r="I9" s="20">
        <v>4.1000000000000002E-2</v>
      </c>
      <c r="J9" s="20">
        <v>0.04</v>
      </c>
    </row>
    <row r="10" spans="1:10" ht="15" customHeight="1" x14ac:dyDescent="0.3">
      <c r="B10" s="18" t="s">
        <v>16</v>
      </c>
      <c r="C10" s="19">
        <v>0.24299999999999999</v>
      </c>
      <c r="D10" s="19">
        <v>7.4999999999999997E-2</v>
      </c>
      <c r="E10" s="19">
        <v>3.1E-2</v>
      </c>
      <c r="F10" s="20">
        <v>3.2000000000000001E-2</v>
      </c>
      <c r="G10" s="20">
        <v>3.2000000000000001E-2</v>
      </c>
      <c r="H10" s="20">
        <v>3.1E-2</v>
      </c>
      <c r="I10" s="20">
        <v>0.03</v>
      </c>
      <c r="J10" s="20">
        <v>2.8000000000000001E-2</v>
      </c>
    </row>
    <row r="11" spans="1:10" ht="15" customHeight="1" x14ac:dyDescent="0.3">
      <c r="B11" s="18" t="s">
        <v>17</v>
      </c>
      <c r="C11" s="19">
        <v>0.27</v>
      </c>
      <c r="D11" s="19">
        <v>0.26100000000000001</v>
      </c>
      <c r="E11" s="19">
        <v>0.29899999999999999</v>
      </c>
      <c r="F11" s="20">
        <v>0.3</v>
      </c>
      <c r="G11" s="20">
        <v>0.29499999999999998</v>
      </c>
      <c r="H11" s="20">
        <v>0.28999999999999998</v>
      </c>
      <c r="I11" s="20">
        <v>0.28499999999999998</v>
      </c>
      <c r="J11" s="20">
        <v>0.28000000000000003</v>
      </c>
    </row>
    <row r="12" spans="1:10" ht="20.25" customHeight="1" x14ac:dyDescent="0.3">
      <c r="B12" s="18" t="s">
        <v>328</v>
      </c>
      <c r="C12" s="21">
        <v>36</v>
      </c>
      <c r="D12" s="21">
        <v>44</v>
      </c>
      <c r="E12" s="21">
        <v>12</v>
      </c>
      <c r="F12" s="22">
        <v>8</v>
      </c>
      <c r="G12" s="22">
        <v>6</v>
      </c>
      <c r="H12" s="22">
        <v>5</v>
      </c>
      <c r="I12" s="22">
        <v>5</v>
      </c>
      <c r="J12" s="22">
        <v>5</v>
      </c>
    </row>
    <row r="13" spans="1:10" ht="15" customHeight="1" x14ac:dyDescent="0.3">
      <c r="B13" s="18" t="s">
        <v>18</v>
      </c>
      <c r="C13" s="19">
        <v>0.25800000000000001</v>
      </c>
      <c r="D13" s="19">
        <v>0.26100000000000001</v>
      </c>
      <c r="E13" s="19">
        <v>0.25900000000000001</v>
      </c>
      <c r="F13" s="20">
        <v>0.25800000000000001</v>
      </c>
      <c r="G13" s="20">
        <v>0.25800000000000001</v>
      </c>
      <c r="H13" s="20">
        <v>0.25800000000000001</v>
      </c>
      <c r="I13" s="20">
        <v>0.25800000000000001</v>
      </c>
      <c r="J13" s="20">
        <v>0.25800000000000001</v>
      </c>
    </row>
    <row r="15" spans="1:10" ht="15" customHeight="1" x14ac:dyDescent="0.3">
      <c r="B15" s="17" t="s">
        <v>19</v>
      </c>
      <c r="C15" s="17"/>
      <c r="D15" s="17"/>
      <c r="E15" s="17"/>
      <c r="F15" s="17"/>
      <c r="G15" s="17"/>
      <c r="H15" s="17"/>
      <c r="I15" s="17"/>
      <c r="J15" s="17"/>
    </row>
    <row r="16" spans="1:10" ht="15" customHeight="1" x14ac:dyDescent="0.3">
      <c r="B16" s="23" t="s">
        <v>330</v>
      </c>
      <c r="C16" s="21">
        <v>3149</v>
      </c>
      <c r="D16" s="21">
        <v>3484</v>
      </c>
      <c r="E16" s="21">
        <v>3918</v>
      </c>
      <c r="F16" s="34">
        <f>E16*(1+F6)</f>
        <v>4388.1600000000008</v>
      </c>
      <c r="G16" s="34">
        <f>F16*(1+G6)</f>
        <v>4958.6208000000006</v>
      </c>
      <c r="H16" s="34">
        <f>G16*(1+H6)</f>
        <v>5603.2415040000005</v>
      </c>
      <c r="I16" s="34">
        <f>H16*(1+I6)</f>
        <v>6219.5980694400014</v>
      </c>
      <c r="J16" s="34">
        <f>I16*(1+J6)</f>
        <v>6841.5578763840022</v>
      </c>
    </row>
    <row r="17" spans="1:10" ht="15" customHeight="1" x14ac:dyDescent="0.3">
      <c r="B17" s="24" t="s">
        <v>331</v>
      </c>
      <c r="C17" s="21">
        <v>1978</v>
      </c>
      <c r="D17" s="21">
        <v>2299</v>
      </c>
      <c r="E17" s="21">
        <v>2602</v>
      </c>
      <c r="F17" s="35">
        <f>F16*F7</f>
        <v>2940.0672000000009</v>
      </c>
      <c r="G17" s="35">
        <f>G16*G7</f>
        <v>3347.0690400000008</v>
      </c>
      <c r="H17" s="35">
        <f>H16*H7</f>
        <v>3810.2042227200004</v>
      </c>
      <c r="I17" s="35">
        <f>I16*I7</f>
        <v>4241.7658833580808</v>
      </c>
      <c r="J17" s="35">
        <f>J16*J7</f>
        <v>4679.6255874466578</v>
      </c>
    </row>
    <row r="18" spans="1:10" ht="15" customHeight="1" x14ac:dyDescent="0.3">
      <c r="B18" s="25" t="s">
        <v>332</v>
      </c>
      <c r="C18" s="21">
        <v>696</v>
      </c>
      <c r="D18" s="21">
        <v>939</v>
      </c>
      <c r="E18" s="21">
        <v>1087</v>
      </c>
      <c r="F18" s="34">
        <f>F16*F8</f>
        <v>1250.6256000000001</v>
      </c>
      <c r="G18" s="34">
        <f>G16*G8</f>
        <v>1438.0000320000001</v>
      </c>
      <c r="H18" s="34">
        <f>H16*H8</f>
        <v>1652.9562436800002</v>
      </c>
      <c r="I18" s="34">
        <f>I16*I8</f>
        <v>1853.4402246931204</v>
      </c>
      <c r="J18" s="34">
        <f>J16*J8</f>
        <v>2052.4673629152007</v>
      </c>
    </row>
    <row r="19" spans="1:10" ht="15" customHeight="1" x14ac:dyDescent="0.3">
      <c r="B19" s="24" t="s">
        <v>329</v>
      </c>
      <c r="C19" s="21">
        <v>114</v>
      </c>
      <c r="D19" s="21">
        <v>138</v>
      </c>
      <c r="E19" s="21">
        <v>171</v>
      </c>
      <c r="F19" s="35">
        <f>F16*F9</f>
        <v>188.69088000000002</v>
      </c>
      <c r="G19" s="35">
        <f>G16*G9</f>
        <v>208.26207360000004</v>
      </c>
      <c r="H19" s="35">
        <f>H16*H9</f>
        <v>229.73290166400002</v>
      </c>
      <c r="I19" s="35">
        <f>I16*I9</f>
        <v>255.00352084704008</v>
      </c>
      <c r="J19" s="35">
        <f>J16*J9</f>
        <v>273.66231505536007</v>
      </c>
    </row>
    <row r="20" spans="1:10" ht="15" customHeight="1" x14ac:dyDescent="0.3">
      <c r="B20" s="25" t="s">
        <v>333</v>
      </c>
      <c r="C20" s="35">
        <f>C18-C19</f>
        <v>582</v>
      </c>
      <c r="D20" s="35">
        <f t="shared" ref="D20:J20" si="0">D18-D19</f>
        <v>801</v>
      </c>
      <c r="E20" s="35">
        <f t="shared" si="0"/>
        <v>916</v>
      </c>
      <c r="F20" s="34">
        <f>F18-F19</f>
        <v>1061.93472</v>
      </c>
      <c r="G20" s="34">
        <f t="shared" si="0"/>
        <v>1229.7379584</v>
      </c>
      <c r="H20" s="34">
        <f t="shared" si="0"/>
        <v>1423.2233420160001</v>
      </c>
      <c r="I20" s="34">
        <f t="shared" si="0"/>
        <v>1598.4367038460803</v>
      </c>
      <c r="J20" s="34">
        <f t="shared" si="0"/>
        <v>1778.8050478598407</v>
      </c>
    </row>
    <row r="21" spans="1:10" ht="15" customHeight="1" x14ac:dyDescent="0.3">
      <c r="B21" s="24" t="s">
        <v>334</v>
      </c>
      <c r="C21" s="21">
        <v>765</v>
      </c>
      <c r="D21" s="21">
        <v>261</v>
      </c>
      <c r="E21" s="21">
        <v>120</v>
      </c>
      <c r="F21" s="35">
        <f>F16*F10</f>
        <v>140.42112000000003</v>
      </c>
      <c r="G21" s="35">
        <f>G16*G10</f>
        <v>158.67586560000001</v>
      </c>
      <c r="H21" s="35">
        <f>H16*H10</f>
        <v>173.70048662400001</v>
      </c>
      <c r="I21" s="35">
        <f>I16*I10</f>
        <v>186.58794208320003</v>
      </c>
      <c r="J21" s="35">
        <f>J16*J10</f>
        <v>191.56362053875208</v>
      </c>
    </row>
    <row r="22" spans="1:10" ht="15" customHeight="1" x14ac:dyDescent="0.3">
      <c r="B22" s="24" t="s">
        <v>335</v>
      </c>
      <c r="C22" s="35">
        <f t="shared" ref="C22:J22" si="1">C16*C11</f>
        <v>850.23</v>
      </c>
      <c r="D22" s="35">
        <f t="shared" si="1"/>
        <v>909.32400000000007</v>
      </c>
      <c r="E22" s="35">
        <f t="shared" si="1"/>
        <v>1171.482</v>
      </c>
      <c r="F22" s="35">
        <f>F16*F11</f>
        <v>1316.4480000000001</v>
      </c>
      <c r="G22" s="35">
        <f t="shared" si="1"/>
        <v>1462.793136</v>
      </c>
      <c r="H22" s="35">
        <f t="shared" si="1"/>
        <v>1624.9400361600001</v>
      </c>
      <c r="I22" s="35">
        <f t="shared" si="1"/>
        <v>1772.5854497904002</v>
      </c>
      <c r="J22" s="35">
        <f t="shared" si="1"/>
        <v>1915.6362053875207</v>
      </c>
    </row>
    <row r="23" spans="1:10" ht="15" customHeight="1" x14ac:dyDescent="0.3">
      <c r="B23" s="24" t="s">
        <v>336</v>
      </c>
      <c r="C23" s="26"/>
      <c r="D23" s="35">
        <f>D22-C22</f>
        <v>59.094000000000051</v>
      </c>
      <c r="E23" s="35">
        <f t="shared" ref="E23:J23" si="2">E22-D22</f>
        <v>262.1579999999999</v>
      </c>
      <c r="F23" s="35">
        <f>F22-E22</f>
        <v>144.96600000000012</v>
      </c>
      <c r="G23" s="35">
        <f t="shared" si="2"/>
        <v>146.34513599999991</v>
      </c>
      <c r="H23" s="35">
        <f t="shared" si="2"/>
        <v>162.14690016000009</v>
      </c>
      <c r="I23" s="35">
        <f t="shared" si="2"/>
        <v>147.64541363040007</v>
      </c>
      <c r="J23" s="35">
        <f t="shared" si="2"/>
        <v>143.05075559712054</v>
      </c>
    </row>
    <row r="24" spans="1:10" ht="15" customHeight="1" x14ac:dyDescent="0.3">
      <c r="B24" s="24" t="s">
        <v>337</v>
      </c>
      <c r="C24" s="21">
        <v>36</v>
      </c>
      <c r="D24" s="21">
        <v>44</v>
      </c>
      <c r="E24" s="21">
        <v>12</v>
      </c>
      <c r="F24" s="35">
        <f>F12</f>
        <v>8</v>
      </c>
      <c r="G24" s="35">
        <f t="shared" ref="G24:J25" si="3">G12</f>
        <v>6</v>
      </c>
      <c r="H24" s="35">
        <f t="shared" si="3"/>
        <v>5</v>
      </c>
      <c r="I24" s="35">
        <f t="shared" si="3"/>
        <v>5</v>
      </c>
      <c r="J24" s="35">
        <f t="shared" si="3"/>
        <v>5</v>
      </c>
    </row>
    <row r="25" spans="1:10" ht="15" customHeight="1" x14ac:dyDescent="0.3">
      <c r="B25" s="24" t="s">
        <v>20</v>
      </c>
      <c r="C25" s="36">
        <f>C13</f>
        <v>0.25800000000000001</v>
      </c>
      <c r="D25" s="36">
        <f>D13</f>
        <v>0.26100000000000001</v>
      </c>
      <c r="E25" s="36">
        <f>E13</f>
        <v>0.25900000000000001</v>
      </c>
      <c r="F25" s="36">
        <f>F13</f>
        <v>0.25800000000000001</v>
      </c>
      <c r="G25" s="36">
        <f t="shared" si="3"/>
        <v>0.25800000000000001</v>
      </c>
      <c r="H25" s="36">
        <f t="shared" si="3"/>
        <v>0.25800000000000001</v>
      </c>
      <c r="I25" s="36">
        <f t="shared" si="3"/>
        <v>0.25800000000000001</v>
      </c>
      <c r="J25" s="36">
        <f t="shared" si="3"/>
        <v>0.25800000000000001</v>
      </c>
    </row>
    <row r="27" spans="1:10" ht="15" customHeight="1" x14ac:dyDescent="0.3">
      <c r="A27" s="1" t="s">
        <v>286</v>
      </c>
      <c r="B27" s="17" t="s">
        <v>21</v>
      </c>
      <c r="C27" s="17"/>
      <c r="D27" s="17"/>
      <c r="E27" s="17"/>
      <c r="F27" s="17"/>
      <c r="G27" s="17"/>
      <c r="H27" s="17"/>
      <c r="I27" s="17"/>
      <c r="J27" s="17"/>
    </row>
    <row r="28" spans="1:10" ht="20.25" customHeight="1" x14ac:dyDescent="0.3">
      <c r="B28" s="18" t="s">
        <v>11</v>
      </c>
      <c r="C28" s="19" t="s">
        <v>12</v>
      </c>
      <c r="D28" s="19">
        <v>0.11509999999999999</v>
      </c>
      <c r="E28" s="19">
        <v>7.3499999999999996E-2</v>
      </c>
      <c r="F28" s="20">
        <v>0.13200000000000001</v>
      </c>
      <c r="G28" s="20">
        <v>0.12</v>
      </c>
      <c r="H28" s="20">
        <v>0.12</v>
      </c>
      <c r="I28" s="20">
        <v>0.11</v>
      </c>
      <c r="J28" s="20">
        <v>8.5000000000000006E-2</v>
      </c>
    </row>
    <row r="29" spans="1:10" ht="15" customHeight="1" x14ac:dyDescent="0.3">
      <c r="B29" s="18" t="s">
        <v>14</v>
      </c>
      <c r="C29" s="19">
        <v>0.29599999999999999</v>
      </c>
      <c r="D29" s="19">
        <v>0.314</v>
      </c>
      <c r="E29" s="19">
        <v>0.32300000000000001</v>
      </c>
      <c r="F29" s="20">
        <v>0.32900000000000001</v>
      </c>
      <c r="G29" s="20">
        <v>0.33300000000000002</v>
      </c>
      <c r="H29" s="20">
        <v>0.33500000000000002</v>
      </c>
      <c r="I29" s="20">
        <v>0.33700000000000002</v>
      </c>
      <c r="J29" s="20">
        <v>0.33800000000000002</v>
      </c>
    </row>
    <row r="30" spans="1:10" ht="15" customHeight="1" x14ac:dyDescent="0.3">
      <c r="B30" s="18" t="s">
        <v>15</v>
      </c>
      <c r="C30" s="19">
        <v>7.3499999999999996E-2</v>
      </c>
      <c r="D30" s="19">
        <v>7.5300000000000006E-2</v>
      </c>
      <c r="E30" s="19">
        <v>6.9000000000000006E-2</v>
      </c>
      <c r="F30" s="20">
        <v>6.8000000000000005E-2</v>
      </c>
      <c r="G30" s="20">
        <v>6.7000000000000004E-2</v>
      </c>
      <c r="H30" s="20">
        <v>6.6000000000000003E-2</v>
      </c>
      <c r="I30" s="20">
        <v>6.5000000000000002E-2</v>
      </c>
      <c r="J30" s="20">
        <v>6.4000000000000001E-2</v>
      </c>
    </row>
    <row r="31" spans="1:10" ht="20.25" customHeight="1" x14ac:dyDescent="0.3">
      <c r="B31" s="18" t="s">
        <v>338</v>
      </c>
      <c r="C31" s="21">
        <v>333</v>
      </c>
      <c r="D31" s="21">
        <v>354</v>
      </c>
      <c r="E31" s="21">
        <v>252</v>
      </c>
      <c r="F31" s="22">
        <v>1050</v>
      </c>
      <c r="G31" s="22">
        <v>980</v>
      </c>
      <c r="H31" s="22">
        <v>850</v>
      </c>
      <c r="I31" s="22">
        <v>650</v>
      </c>
      <c r="J31" s="22">
        <v>450</v>
      </c>
    </row>
    <row r="32" spans="1:10" ht="15" customHeight="1" x14ac:dyDescent="0.3">
      <c r="B32" s="18" t="s">
        <v>18</v>
      </c>
      <c r="C32" s="19">
        <v>0.32800000000000001</v>
      </c>
      <c r="D32" s="19">
        <v>0.29799999999999999</v>
      </c>
      <c r="E32" s="19">
        <v>0.28499999999999998</v>
      </c>
      <c r="F32" s="20">
        <v>0.27</v>
      </c>
      <c r="G32" s="20">
        <v>0.27</v>
      </c>
      <c r="H32" s="20">
        <v>0.27</v>
      </c>
      <c r="I32" s="20">
        <v>0.27</v>
      </c>
      <c r="J32" s="20">
        <v>0.27</v>
      </c>
    </row>
    <row r="33" spans="1:10" ht="15" customHeight="1" x14ac:dyDescent="0.3">
      <c r="B33" s="18" t="s">
        <v>16</v>
      </c>
      <c r="C33" s="19">
        <v>5.9700000000000003E-2</v>
      </c>
      <c r="D33" s="19">
        <v>4.0399999999999998E-2</v>
      </c>
      <c r="E33" s="19">
        <v>5.3100000000000001E-2</v>
      </c>
      <c r="F33" s="20">
        <v>4.2000000000000003E-2</v>
      </c>
      <c r="G33" s="20">
        <v>4.1000000000000002E-2</v>
      </c>
      <c r="H33" s="20">
        <v>0.04</v>
      </c>
      <c r="I33" s="20">
        <v>3.5999999999999997E-2</v>
      </c>
      <c r="J33" s="20">
        <v>3.3000000000000002E-2</v>
      </c>
    </row>
    <row r="35" spans="1:10" ht="15" customHeight="1" x14ac:dyDescent="0.3">
      <c r="B35" s="17" t="s">
        <v>22</v>
      </c>
      <c r="C35" s="17"/>
      <c r="D35" s="17"/>
      <c r="E35" s="17"/>
      <c r="F35" s="17"/>
      <c r="G35" s="17"/>
      <c r="H35" s="17"/>
      <c r="I35" s="17"/>
      <c r="J35" s="17"/>
    </row>
    <row r="36" spans="1:10" ht="15" customHeight="1" x14ac:dyDescent="0.3">
      <c r="B36" s="23" t="s">
        <v>330</v>
      </c>
      <c r="C36" s="27">
        <v>9620</v>
      </c>
      <c r="D36" s="27">
        <v>10728</v>
      </c>
      <c r="E36" s="27">
        <v>11516</v>
      </c>
      <c r="F36" s="34">
        <f>E36*(1+F28)</f>
        <v>13036.112000000001</v>
      </c>
      <c r="G36" s="34">
        <f>F36*(1+G28)</f>
        <v>14600.445440000003</v>
      </c>
      <c r="H36" s="34">
        <f>G36*(1+H28)</f>
        <v>16352.498892800006</v>
      </c>
      <c r="I36" s="34">
        <f>H36*(1+I28)</f>
        <v>18151.273771008007</v>
      </c>
      <c r="J36" s="34">
        <f>I36*(1+J28)</f>
        <v>19694.132041543686</v>
      </c>
    </row>
    <row r="37" spans="1:10" ht="15" customHeight="1" x14ac:dyDescent="0.3">
      <c r="B37" s="25" t="s">
        <v>332</v>
      </c>
      <c r="C37" s="27">
        <v>2842</v>
      </c>
      <c r="D37" s="27">
        <v>3368</v>
      </c>
      <c r="E37" s="27">
        <v>3721</v>
      </c>
      <c r="F37" s="34">
        <f>F36*F29</f>
        <v>4288.8808480000007</v>
      </c>
      <c r="G37" s="34">
        <f>G36*G29</f>
        <v>4861.9483315200014</v>
      </c>
      <c r="H37" s="34">
        <f>H36*H29</f>
        <v>5478.0871290880023</v>
      </c>
      <c r="I37" s="34">
        <f>I36*I29</f>
        <v>6116.9792608296984</v>
      </c>
      <c r="J37" s="34">
        <f>J36*J29</f>
        <v>6656.6166300417663</v>
      </c>
    </row>
    <row r="38" spans="1:10" ht="15" customHeight="1" x14ac:dyDescent="0.3">
      <c r="B38" s="24" t="s">
        <v>329</v>
      </c>
      <c r="C38" s="21">
        <v>707</v>
      </c>
      <c r="D38" s="21">
        <v>808</v>
      </c>
      <c r="E38" s="21">
        <v>795</v>
      </c>
      <c r="F38" s="35">
        <f>F36*F30</f>
        <v>886.45561600000008</v>
      </c>
      <c r="G38" s="35">
        <f>G36*G30</f>
        <v>978.22984448000022</v>
      </c>
      <c r="H38" s="35">
        <f>H36*H30</f>
        <v>1079.2649269248004</v>
      </c>
      <c r="I38" s="35">
        <f>I36*I30</f>
        <v>1179.8327951155204</v>
      </c>
      <c r="J38" s="35">
        <f>J36*J30</f>
        <v>1260.4244506587959</v>
      </c>
    </row>
    <row r="39" spans="1:10" ht="15" customHeight="1" x14ac:dyDescent="0.3">
      <c r="B39" s="25" t="s">
        <v>333</v>
      </c>
      <c r="C39" s="34">
        <f t="shared" ref="C39:J39" si="4">C37-C38</f>
        <v>2135</v>
      </c>
      <c r="D39" s="34">
        <f t="shared" si="4"/>
        <v>2560</v>
      </c>
      <c r="E39" s="34">
        <f t="shared" si="4"/>
        <v>2926</v>
      </c>
      <c r="F39" s="34">
        <f>F37-F38</f>
        <v>3402.4252320000005</v>
      </c>
      <c r="G39" s="34">
        <f t="shared" si="4"/>
        <v>3883.718487040001</v>
      </c>
      <c r="H39" s="34">
        <f t="shared" si="4"/>
        <v>4398.8222021632018</v>
      </c>
      <c r="I39" s="34">
        <f t="shared" si="4"/>
        <v>4937.1464657141778</v>
      </c>
      <c r="J39" s="34">
        <f t="shared" si="4"/>
        <v>5396.1921793829706</v>
      </c>
    </row>
    <row r="40" spans="1:10" ht="15" customHeight="1" x14ac:dyDescent="0.3">
      <c r="B40" s="24" t="s">
        <v>337</v>
      </c>
      <c r="C40" s="21">
        <v>333</v>
      </c>
      <c r="D40" s="21">
        <v>354</v>
      </c>
      <c r="E40" s="21">
        <v>252</v>
      </c>
      <c r="F40" s="35">
        <f>F31</f>
        <v>1050</v>
      </c>
      <c r="G40" s="35">
        <f t="shared" ref="G40:J41" si="5">G31</f>
        <v>980</v>
      </c>
      <c r="H40" s="35">
        <f t="shared" si="5"/>
        <v>850</v>
      </c>
      <c r="I40" s="35">
        <f t="shared" si="5"/>
        <v>650</v>
      </c>
      <c r="J40" s="35">
        <f t="shared" si="5"/>
        <v>450</v>
      </c>
    </row>
    <row r="41" spans="1:10" ht="15" customHeight="1" x14ac:dyDescent="0.3">
      <c r="B41" s="24" t="s">
        <v>20</v>
      </c>
      <c r="C41" s="35">
        <f>C32</f>
        <v>0.32800000000000001</v>
      </c>
      <c r="D41" s="35">
        <f>D32</f>
        <v>0.29799999999999999</v>
      </c>
      <c r="E41" s="35">
        <f>E32</f>
        <v>0.28499999999999998</v>
      </c>
      <c r="F41" s="35">
        <f>F32</f>
        <v>0.27</v>
      </c>
      <c r="G41" s="35">
        <f t="shared" si="5"/>
        <v>0.27</v>
      </c>
      <c r="H41" s="35">
        <f t="shared" si="5"/>
        <v>0.27</v>
      </c>
      <c r="I41" s="35">
        <f t="shared" si="5"/>
        <v>0.27</v>
      </c>
      <c r="J41" s="35">
        <f t="shared" si="5"/>
        <v>0.27</v>
      </c>
    </row>
    <row r="42" spans="1:10" ht="15" customHeight="1" x14ac:dyDescent="0.3">
      <c r="B42" s="24" t="s">
        <v>334</v>
      </c>
      <c r="C42" s="21">
        <v>574</v>
      </c>
      <c r="D42" s="21">
        <v>433</v>
      </c>
      <c r="E42" s="21">
        <v>612</v>
      </c>
      <c r="F42" s="35">
        <f>F36*F33</f>
        <v>547.51670400000012</v>
      </c>
      <c r="G42" s="35">
        <f>G36*G33</f>
        <v>598.6182630400001</v>
      </c>
      <c r="H42" s="35">
        <f>H36*H33</f>
        <v>654.09995571200022</v>
      </c>
      <c r="I42" s="35">
        <f>I36*I33</f>
        <v>653.44585575628821</v>
      </c>
      <c r="J42" s="35">
        <f>J36*J33</f>
        <v>649.90635737094169</v>
      </c>
    </row>
    <row r="43" spans="1:10" ht="15" customHeight="1" x14ac:dyDescent="0.3">
      <c r="B43" s="25" t="s">
        <v>339</v>
      </c>
      <c r="C43" s="27">
        <v>1245</v>
      </c>
      <c r="D43" s="27">
        <v>1656</v>
      </c>
      <c r="E43" s="27">
        <v>1911</v>
      </c>
      <c r="F43" s="34">
        <f>(F39-F40)*( 1-F41)</f>
        <v>1717.2704193600002</v>
      </c>
      <c r="G43" s="34">
        <f t="shared" ref="G43:I43" si="6">(G39-G40)*( 1-G41)</f>
        <v>2119.7144955392009</v>
      </c>
      <c r="H43" s="34">
        <f t="shared" si="6"/>
        <v>2590.6402075791375</v>
      </c>
      <c r="I43" s="34">
        <f t="shared" si="6"/>
        <v>3129.6169199713495</v>
      </c>
      <c r="J43" s="34">
        <f>(J39-J40)*( 1-J41)</f>
        <v>3610.7202909495686</v>
      </c>
    </row>
    <row r="44" spans="1:10" ht="15" customHeight="1" x14ac:dyDescent="0.3">
      <c r="B44" s="24" t="s">
        <v>23</v>
      </c>
      <c r="C44" s="28">
        <v>33.840000000000003</v>
      </c>
      <c r="D44" s="37">
        <f>C44</f>
        <v>33.840000000000003</v>
      </c>
      <c r="E44" s="37">
        <f>C44</f>
        <v>33.840000000000003</v>
      </c>
      <c r="F44" s="37">
        <f>C44</f>
        <v>33.840000000000003</v>
      </c>
      <c r="G44" s="37">
        <f>C44</f>
        <v>33.840000000000003</v>
      </c>
      <c r="H44" s="37">
        <f>C44</f>
        <v>33.840000000000003</v>
      </c>
      <c r="I44" s="37">
        <f>C44</f>
        <v>33.840000000000003</v>
      </c>
      <c r="J44" s="37">
        <f>C44</f>
        <v>33.840000000000003</v>
      </c>
    </row>
    <row r="46" spans="1:10" ht="15" customHeight="1" x14ac:dyDescent="0.3">
      <c r="A46" s="1" t="s">
        <v>286</v>
      </c>
      <c r="B46" s="17" t="s">
        <v>24</v>
      </c>
      <c r="C46" s="17"/>
      <c r="D46" s="17"/>
      <c r="E46" s="17"/>
      <c r="F46" s="17"/>
      <c r="G46" s="17"/>
      <c r="H46" s="17"/>
      <c r="I46" s="17"/>
      <c r="J46" s="17"/>
    </row>
    <row r="47" spans="1:10" ht="15" customHeight="1" x14ac:dyDescent="0.3">
      <c r="B47" s="29" t="s">
        <v>25</v>
      </c>
      <c r="C47" s="30">
        <v>16.05</v>
      </c>
    </row>
    <row r="48" spans="1:10" ht="15" customHeight="1" x14ac:dyDescent="0.3">
      <c r="B48" s="29" t="s">
        <v>345</v>
      </c>
      <c r="C48" s="22">
        <v>1600</v>
      </c>
    </row>
    <row r="49" spans="2:3" ht="15" customHeight="1" x14ac:dyDescent="0.3">
      <c r="B49" s="29" t="s">
        <v>346</v>
      </c>
      <c r="C49" s="22">
        <v>1639.18</v>
      </c>
    </row>
    <row r="50" spans="2:3" ht="15" customHeight="1" x14ac:dyDescent="0.3">
      <c r="B50" s="29" t="s">
        <v>26</v>
      </c>
      <c r="C50" s="31">
        <v>0.46389999999999998</v>
      </c>
    </row>
    <row r="51" spans="2:3" ht="15" customHeight="1" x14ac:dyDescent="0.3">
      <c r="B51" s="29" t="s">
        <v>27</v>
      </c>
      <c r="C51" s="31">
        <v>2.41E-2</v>
      </c>
    </row>
    <row r="52" spans="2:3" ht="15" customHeight="1" x14ac:dyDescent="0.3">
      <c r="B52" s="29" t="s">
        <v>28</v>
      </c>
      <c r="C52" s="31">
        <v>1.4999999999999999E-2</v>
      </c>
    </row>
    <row r="53" spans="2:3" ht="15" customHeight="1" x14ac:dyDescent="0.3">
      <c r="B53" s="29" t="s">
        <v>340</v>
      </c>
      <c r="C53" s="22">
        <v>12500</v>
      </c>
    </row>
    <row r="54" spans="2:3" ht="15" customHeight="1" x14ac:dyDescent="0.3">
      <c r="B54" s="29" t="s">
        <v>29</v>
      </c>
      <c r="C54" s="31">
        <v>7.5999999999999998E-2</v>
      </c>
    </row>
    <row r="55" spans="2:3" ht="15" customHeight="1" x14ac:dyDescent="0.3">
      <c r="B55" s="29" t="s">
        <v>262</v>
      </c>
      <c r="C55" s="35">
        <f>C53*C54</f>
        <v>950</v>
      </c>
    </row>
    <row r="56" spans="2:3" ht="15" customHeight="1" x14ac:dyDescent="0.3">
      <c r="B56" s="29" t="s">
        <v>30</v>
      </c>
      <c r="C56" s="32">
        <v>51</v>
      </c>
    </row>
    <row r="57" spans="2:3" ht="15" customHeight="1" x14ac:dyDescent="0.3">
      <c r="B57" s="29" t="s">
        <v>347</v>
      </c>
      <c r="C57" s="22">
        <v>3200</v>
      </c>
    </row>
    <row r="58" spans="2:3" ht="15" customHeight="1" x14ac:dyDescent="0.3">
      <c r="B58" s="29" t="s">
        <v>341</v>
      </c>
      <c r="C58" s="22">
        <v>3434</v>
      </c>
    </row>
    <row r="59" spans="2:3" ht="15" customHeight="1" x14ac:dyDescent="0.3">
      <c r="B59" s="29" t="s">
        <v>342</v>
      </c>
      <c r="C59" s="22">
        <v>2500</v>
      </c>
    </row>
    <row r="60" spans="2:3" ht="15" customHeight="1" x14ac:dyDescent="0.3">
      <c r="B60" s="29" t="s">
        <v>228</v>
      </c>
      <c r="C60" s="33">
        <v>5.0000000000000001E-3</v>
      </c>
    </row>
    <row r="61" spans="2:3" ht="15" customHeight="1" x14ac:dyDescent="0.3">
      <c r="B61" s="29" t="s">
        <v>31</v>
      </c>
      <c r="C61" s="32">
        <v>15</v>
      </c>
    </row>
    <row r="62" spans="2:3" ht="15" customHeight="1" x14ac:dyDescent="0.3">
      <c r="B62" s="29" t="s">
        <v>343</v>
      </c>
      <c r="C62" s="38">
        <f>(('Deal Mechanics'!C8+'Deal Mechanics'!C10+'Deal Mechanics'!C13+('Deal Mechanics'!C15*Assumptions!C60))-(Assumptions!C53+'Deal Mechanics'!C16))</f>
        <v>362.10494792499958</v>
      </c>
    </row>
    <row r="63" spans="2:3" ht="15" customHeight="1" x14ac:dyDescent="0.3">
      <c r="B63" s="25" t="s">
        <v>344</v>
      </c>
      <c r="C63" s="39">
        <f>((C47*C48)-C58-C59)/C61</f>
        <v>1316.4</v>
      </c>
    </row>
  </sheetData>
  <sheetProtection algorithmName="SHA-512" hashValue="nhVHkErNuzdswNiqPYojZYidR7L542vh3DKKLQDv9m888tbyuYlMwUY9l1zZ0s/n1K4OQBElPluNlXQ+fmoewg==" saltValue="nUSAQnhZyTA6W6HwuGo6XA==" spinCount="100000" sheet="1" objects="1" scenarios="1"/>
  <mergeCells count="2">
    <mergeCell ref="B1:J1"/>
    <mergeCell ref="B2:J2"/>
  </mergeCells>
  <pageMargins left="0.69" right="0.75" top="1" bottom="1" header="0.511811023622047" footer="0.511811023622047"/>
  <pageSetup paperSize="9" scale="88" fitToHeight="0" orientation="landscape" r:id="rId1"/>
  <rowBreaks count="2" manualBreakCount="2">
    <brk id="25" max="16383" man="1"/>
    <brk id="45" max="16383"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J17"/>
  <sheetViews>
    <sheetView showGridLines="0" zoomScaleNormal="100" workbookViewId="0"/>
  </sheetViews>
  <sheetFormatPr defaultColWidth="8.6640625" defaultRowHeight="14.4" x14ac:dyDescent="0.3"/>
  <cols>
    <col min="1" max="1" width="2.33203125" style="1" customWidth="1"/>
    <col min="2" max="2" width="36" style="1" customWidth="1"/>
    <col min="3" max="11" width="12" style="1" customWidth="1"/>
    <col min="12" max="16384" width="8.6640625" style="1"/>
  </cols>
  <sheetData>
    <row r="1" spans="2:10" ht="15" customHeight="1" x14ac:dyDescent="0.3">
      <c r="B1" s="264" t="s">
        <v>300</v>
      </c>
      <c r="C1" s="264"/>
      <c r="D1" s="264"/>
      <c r="E1" s="264"/>
      <c r="F1" s="264"/>
      <c r="G1" s="264"/>
      <c r="H1" s="264"/>
      <c r="I1" s="264"/>
      <c r="J1" s="264"/>
    </row>
    <row r="2" spans="2:10" ht="15" customHeight="1" x14ac:dyDescent="0.3">
      <c r="B2" s="265" t="s">
        <v>55</v>
      </c>
      <c r="C2" s="265"/>
      <c r="D2" s="265"/>
      <c r="E2" s="265"/>
      <c r="F2" s="265"/>
      <c r="G2" s="265"/>
      <c r="H2" s="265"/>
      <c r="I2" s="265"/>
      <c r="J2" s="265"/>
    </row>
    <row r="4" spans="2:10" ht="15" customHeight="1" x14ac:dyDescent="0.3">
      <c r="B4" s="266" t="s">
        <v>34</v>
      </c>
      <c r="C4" s="266"/>
      <c r="D4" s="266"/>
      <c r="E4" s="266"/>
      <c r="F4" s="266"/>
      <c r="G4" s="266"/>
      <c r="H4" s="266"/>
      <c r="I4" s="266"/>
      <c r="J4" s="266"/>
    </row>
    <row r="5" spans="2:10" ht="15" customHeight="1" x14ac:dyDescent="0.3">
      <c r="C5" s="16" t="s">
        <v>2</v>
      </c>
      <c r="D5" s="16" t="s">
        <v>3</v>
      </c>
      <c r="E5" s="16" t="s">
        <v>4</v>
      </c>
      <c r="F5" s="16" t="s">
        <v>5</v>
      </c>
      <c r="G5" s="16" t="s">
        <v>6</v>
      </c>
      <c r="H5" s="16" t="s">
        <v>7</v>
      </c>
      <c r="I5" s="16" t="s">
        <v>8</v>
      </c>
      <c r="J5" s="16" t="s">
        <v>9</v>
      </c>
    </row>
    <row r="6" spans="2:10" ht="15" customHeight="1" x14ac:dyDescent="0.3">
      <c r="B6" s="42" t="s">
        <v>35</v>
      </c>
      <c r="C6" s="47">
        <f>Assumptions!C36</f>
        <v>9620</v>
      </c>
      <c r="D6" s="47">
        <f>Assumptions!D36</f>
        <v>10728</v>
      </c>
      <c r="E6" s="47">
        <f>Assumptions!E36</f>
        <v>11516</v>
      </c>
      <c r="F6" s="47">
        <f>Assumptions!F36</f>
        <v>13036.112000000001</v>
      </c>
      <c r="G6" s="47">
        <f>Assumptions!G36</f>
        <v>14600.445440000003</v>
      </c>
      <c r="H6" s="47">
        <f>Assumptions!H36</f>
        <v>16352.498892800006</v>
      </c>
      <c r="I6" s="47">
        <f>Assumptions!I36</f>
        <v>18151.273771008007</v>
      </c>
      <c r="J6" s="47">
        <f>Assumptions!J36</f>
        <v>19694.132041543686</v>
      </c>
    </row>
    <row r="7" spans="2:10" ht="15" customHeight="1" x14ac:dyDescent="0.3">
      <c r="B7" s="24" t="s">
        <v>36</v>
      </c>
      <c r="C7" s="43" t="s">
        <v>12</v>
      </c>
      <c r="D7" s="48">
        <f>Assumptions!D28</f>
        <v>0.11509999999999999</v>
      </c>
      <c r="E7" s="48">
        <f>Assumptions!E28</f>
        <v>7.3499999999999996E-2</v>
      </c>
      <c r="F7" s="48">
        <f>Assumptions!F28</f>
        <v>0.13200000000000001</v>
      </c>
      <c r="G7" s="48">
        <f>Assumptions!G28</f>
        <v>0.12</v>
      </c>
      <c r="H7" s="48">
        <f>Assumptions!H28</f>
        <v>0.12</v>
      </c>
      <c r="I7" s="48">
        <f>Assumptions!I28</f>
        <v>0.11</v>
      </c>
      <c r="J7" s="48">
        <f>Assumptions!J28</f>
        <v>8.5000000000000006E-2</v>
      </c>
    </row>
    <row r="8" spans="2:10" ht="15" customHeight="1" x14ac:dyDescent="0.3">
      <c r="B8" s="42" t="s">
        <v>39</v>
      </c>
      <c r="C8" s="47">
        <f>Assumptions!C37</f>
        <v>2842</v>
      </c>
      <c r="D8" s="47">
        <f>Assumptions!D37</f>
        <v>3368</v>
      </c>
      <c r="E8" s="47">
        <f>Assumptions!E37</f>
        <v>3721</v>
      </c>
      <c r="F8" s="47">
        <f>Assumptions!F37</f>
        <v>4288.8808480000007</v>
      </c>
      <c r="G8" s="47">
        <f>Assumptions!G37</f>
        <v>4861.9483315200014</v>
      </c>
      <c r="H8" s="47">
        <f>Assumptions!H37</f>
        <v>5478.0871290880023</v>
      </c>
      <c r="I8" s="47">
        <f>Assumptions!I37</f>
        <v>6116.9792608296984</v>
      </c>
      <c r="J8" s="47">
        <f>Assumptions!J37</f>
        <v>6656.6166300417663</v>
      </c>
    </row>
    <row r="9" spans="2:10" ht="15" customHeight="1" x14ac:dyDescent="0.3">
      <c r="B9" s="24" t="s">
        <v>40</v>
      </c>
      <c r="C9" s="48">
        <f>Assumptions!C29</f>
        <v>0.29599999999999999</v>
      </c>
      <c r="D9" s="48">
        <f>Assumptions!D29</f>
        <v>0.314</v>
      </c>
      <c r="E9" s="48">
        <f>Assumptions!E29</f>
        <v>0.32300000000000001</v>
      </c>
      <c r="F9" s="48">
        <f>Assumptions!F29</f>
        <v>0.32900000000000001</v>
      </c>
      <c r="G9" s="48">
        <f>Assumptions!G29</f>
        <v>0.33300000000000002</v>
      </c>
      <c r="H9" s="48">
        <f>Assumptions!H29</f>
        <v>0.33500000000000002</v>
      </c>
      <c r="I9" s="48">
        <f>Assumptions!I29</f>
        <v>0.33700000000000002</v>
      </c>
      <c r="J9" s="48">
        <f>Assumptions!J29</f>
        <v>0.33800000000000002</v>
      </c>
    </row>
    <row r="10" spans="2:10" ht="15" customHeight="1" x14ac:dyDescent="0.3">
      <c r="B10" s="29" t="s">
        <v>41</v>
      </c>
      <c r="C10" s="49">
        <f>Assumptions!C38</f>
        <v>707</v>
      </c>
      <c r="D10" s="49">
        <f>Assumptions!D38</f>
        <v>808</v>
      </c>
      <c r="E10" s="49">
        <f>Assumptions!E38</f>
        <v>795</v>
      </c>
      <c r="F10" s="49">
        <f>Assumptions!F38</f>
        <v>886.45561600000008</v>
      </c>
      <c r="G10" s="49">
        <f>Assumptions!G38</f>
        <v>978.22984448000022</v>
      </c>
      <c r="H10" s="49">
        <f>Assumptions!H38</f>
        <v>1079.2649269248004</v>
      </c>
      <c r="I10" s="49">
        <f>Assumptions!I38</f>
        <v>1179.8327951155204</v>
      </c>
      <c r="J10" s="49">
        <f>Assumptions!J38</f>
        <v>1260.4244506587959</v>
      </c>
    </row>
    <row r="11" spans="2:10" ht="15" customHeight="1" x14ac:dyDescent="0.3">
      <c r="B11" s="42" t="s">
        <v>42</v>
      </c>
      <c r="C11" s="47">
        <f>Assumptions!C39</f>
        <v>2135</v>
      </c>
      <c r="D11" s="47">
        <f>Assumptions!D39</f>
        <v>2560</v>
      </c>
      <c r="E11" s="47">
        <f>Assumptions!E39</f>
        <v>2926</v>
      </c>
      <c r="F11" s="47">
        <f>Assumptions!F39</f>
        <v>3402.4252320000005</v>
      </c>
      <c r="G11" s="47">
        <f>Assumptions!G39</f>
        <v>3883.718487040001</v>
      </c>
      <c r="H11" s="47">
        <f>Assumptions!H39</f>
        <v>4398.8222021632018</v>
      </c>
      <c r="I11" s="47">
        <f>Assumptions!I39</f>
        <v>4937.1464657141778</v>
      </c>
      <c r="J11" s="47">
        <f>Assumptions!J39</f>
        <v>5396.1921793829706</v>
      </c>
    </row>
    <row r="12" spans="2:10" ht="15" customHeight="1" x14ac:dyDescent="0.3">
      <c r="B12" s="29" t="s">
        <v>43</v>
      </c>
      <c r="C12" s="49">
        <f>Assumptions!C40</f>
        <v>333</v>
      </c>
      <c r="D12" s="49">
        <f>Assumptions!D40</f>
        <v>354</v>
      </c>
      <c r="E12" s="49">
        <f>Assumptions!E40</f>
        <v>252</v>
      </c>
      <c r="F12" s="49">
        <f>Assumptions!F40</f>
        <v>1050</v>
      </c>
      <c r="G12" s="49">
        <f>Assumptions!G40</f>
        <v>980</v>
      </c>
      <c r="H12" s="49">
        <f>Assumptions!H40</f>
        <v>850</v>
      </c>
      <c r="I12" s="49">
        <f>Assumptions!I40</f>
        <v>650</v>
      </c>
      <c r="J12" s="49">
        <f>Assumptions!J40</f>
        <v>450</v>
      </c>
    </row>
    <row r="13" spans="2:10" ht="15" customHeight="1" x14ac:dyDescent="0.3">
      <c r="B13" s="29" t="s">
        <v>56</v>
      </c>
      <c r="C13" s="44">
        <v>45</v>
      </c>
      <c r="D13" s="44">
        <v>146</v>
      </c>
      <c r="E13" s="44">
        <v>-1</v>
      </c>
      <c r="F13" s="45">
        <v>50</v>
      </c>
      <c r="G13" s="45">
        <v>60</v>
      </c>
      <c r="H13" s="45">
        <v>65</v>
      </c>
      <c r="I13" s="45">
        <v>70</v>
      </c>
      <c r="J13" s="45">
        <v>75</v>
      </c>
    </row>
    <row r="14" spans="2:10" ht="15" customHeight="1" x14ac:dyDescent="0.3">
      <c r="B14" s="42" t="s">
        <v>45</v>
      </c>
      <c r="C14" s="50">
        <f t="shared" ref="C14:J14" si="0">C11-C12+C13</f>
        <v>1847</v>
      </c>
      <c r="D14" s="50">
        <f t="shared" si="0"/>
        <v>2352</v>
      </c>
      <c r="E14" s="50">
        <f t="shared" si="0"/>
        <v>2673</v>
      </c>
      <c r="F14" s="50">
        <f t="shared" si="0"/>
        <v>2402.4252320000005</v>
      </c>
      <c r="G14" s="50">
        <f t="shared" si="0"/>
        <v>2963.718487040001</v>
      </c>
      <c r="H14" s="50">
        <f t="shared" si="0"/>
        <v>3613.8222021632018</v>
      </c>
      <c r="I14" s="50">
        <f t="shared" si="0"/>
        <v>4357.1464657141778</v>
      </c>
      <c r="J14" s="50">
        <f t="shared" si="0"/>
        <v>5021.1921793829706</v>
      </c>
    </row>
    <row r="15" spans="2:10" ht="15" customHeight="1" x14ac:dyDescent="0.3">
      <c r="B15" s="29" t="s">
        <v>46</v>
      </c>
      <c r="C15" s="49">
        <f>MAX(0,C14*Assumptions!C41)</f>
        <v>605.81600000000003</v>
      </c>
      <c r="D15" s="49">
        <f>MAX(0,D14*Assumptions!D41)</f>
        <v>700.89599999999996</v>
      </c>
      <c r="E15" s="49">
        <f>MAX(0,E14*Assumptions!E41)</f>
        <v>761.80499999999995</v>
      </c>
      <c r="F15" s="49">
        <f>MAX(0,F14*Assumptions!F41)</f>
        <v>648.65481264000016</v>
      </c>
      <c r="G15" s="49">
        <f>MAX(0,G14*Assumptions!G41)</f>
        <v>800.20399150080038</v>
      </c>
      <c r="H15" s="49">
        <f>MAX(0,H14*Assumptions!H41)</f>
        <v>975.73199458406452</v>
      </c>
      <c r="I15" s="49">
        <f>MAX(0,I14*Assumptions!I41)</f>
        <v>1176.4295457428282</v>
      </c>
      <c r="J15" s="49">
        <f>MAX(0,J14*Assumptions!J41)</f>
        <v>1355.7218884334022</v>
      </c>
    </row>
    <row r="16" spans="2:10" ht="15" customHeight="1" x14ac:dyDescent="0.3">
      <c r="B16" s="18" t="s">
        <v>47</v>
      </c>
      <c r="C16" s="51">
        <f t="shared" ref="C16:J16" si="1">C14-C15</f>
        <v>1241.184</v>
      </c>
      <c r="D16" s="51">
        <f t="shared" si="1"/>
        <v>1651.104</v>
      </c>
      <c r="E16" s="51">
        <f t="shared" si="1"/>
        <v>1911.1950000000002</v>
      </c>
      <c r="F16" s="51">
        <f t="shared" si="1"/>
        <v>1753.7704193600002</v>
      </c>
      <c r="G16" s="51">
        <f t="shared" si="1"/>
        <v>2163.5144955392007</v>
      </c>
      <c r="H16" s="51">
        <f t="shared" si="1"/>
        <v>2638.0902075791373</v>
      </c>
      <c r="I16" s="51">
        <f t="shared" si="1"/>
        <v>3180.7169199713499</v>
      </c>
      <c r="J16" s="51">
        <f t="shared" si="1"/>
        <v>3665.4702909495682</v>
      </c>
    </row>
    <row r="17" spans="2:10" ht="15" customHeight="1" x14ac:dyDescent="0.3">
      <c r="B17" s="29" t="s">
        <v>57</v>
      </c>
      <c r="C17" s="46">
        <v>36.79</v>
      </c>
      <c r="D17" s="46">
        <v>48.94</v>
      </c>
      <c r="E17" s="46">
        <v>56.47</v>
      </c>
      <c r="F17" s="49">
        <f>F16/Assumptions!$C$44</f>
        <v>51.825367002364068</v>
      </c>
      <c r="G17" s="49">
        <f>G16/Assumptions!$C$44</f>
        <v>63.93364348520096</v>
      </c>
      <c r="H17" s="49">
        <f>H16/Assumptions!$C$44</f>
        <v>77.957748450920121</v>
      </c>
      <c r="I17" s="49">
        <f>I16/Assumptions!$C$44</f>
        <v>93.992816784023333</v>
      </c>
      <c r="J17" s="49">
        <f>J16/Assumptions!$C$44</f>
        <v>108.31767999259952</v>
      </c>
    </row>
  </sheetData>
  <sheetProtection algorithmName="SHA-512" hashValue="gMaZwB+fH9qXbQ8afQuXG8QzWUDrUDVEHOLtuhvv+wqVzDHMxKVvu7nU1fel9DP8G6aZEKQIzSOalK0y1nYFpg==" saltValue="a9EFy+bqW1WE6ECyRdI7UA==" spinCount="100000" sheet="1" objects="1" scenarios="1"/>
  <mergeCells count="3">
    <mergeCell ref="B1:J1"/>
    <mergeCell ref="B2:J2"/>
    <mergeCell ref="B4:J4"/>
  </mergeCells>
  <pageMargins left="0.75" right="0.75" top="1" bottom="1" header="0.511811023622047" footer="0.511811023622047"/>
  <pageSetup paperSize="9" scale="96"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J28"/>
  <sheetViews>
    <sheetView showGridLines="0" zoomScale="87" zoomScaleNormal="87" workbookViewId="0"/>
  </sheetViews>
  <sheetFormatPr defaultColWidth="8.6640625" defaultRowHeight="14.4" x14ac:dyDescent="0.3"/>
  <cols>
    <col min="1" max="1" width="2.33203125" style="1" customWidth="1"/>
    <col min="2" max="2" width="36" style="1" customWidth="1"/>
    <col min="3" max="11" width="12" style="1" customWidth="1"/>
    <col min="12" max="16384" width="8.6640625" style="1"/>
  </cols>
  <sheetData>
    <row r="1" spans="2:10" ht="15" customHeight="1" x14ac:dyDescent="0.3">
      <c r="B1" s="264" t="s">
        <v>32</v>
      </c>
      <c r="C1" s="264"/>
      <c r="D1" s="264"/>
      <c r="E1" s="264"/>
      <c r="F1" s="264"/>
      <c r="G1" s="264"/>
      <c r="H1" s="264"/>
      <c r="I1" s="264"/>
      <c r="J1" s="264"/>
    </row>
    <row r="2" spans="2:10" ht="15" customHeight="1" x14ac:dyDescent="0.3">
      <c r="B2" s="265" t="s">
        <v>33</v>
      </c>
      <c r="C2" s="265"/>
      <c r="D2" s="265"/>
      <c r="E2" s="265"/>
      <c r="F2" s="265"/>
      <c r="G2" s="265"/>
      <c r="H2" s="265"/>
      <c r="I2" s="265"/>
      <c r="J2" s="265"/>
    </row>
    <row r="4" spans="2:10" ht="15" customHeight="1" x14ac:dyDescent="0.3">
      <c r="B4" s="266" t="s">
        <v>34</v>
      </c>
      <c r="C4" s="266"/>
      <c r="D4" s="266"/>
      <c r="E4" s="266"/>
      <c r="F4" s="266"/>
      <c r="G4" s="266"/>
      <c r="H4" s="266"/>
      <c r="I4" s="266"/>
      <c r="J4" s="266"/>
    </row>
    <row r="5" spans="2:10" ht="15" customHeight="1" x14ac:dyDescent="0.3">
      <c r="C5" s="16" t="s">
        <v>2</v>
      </c>
      <c r="D5" s="16" t="s">
        <v>3</v>
      </c>
      <c r="E5" s="16" t="s">
        <v>4</v>
      </c>
      <c r="F5" s="16" t="s">
        <v>5</v>
      </c>
      <c r="G5" s="16" t="s">
        <v>6</v>
      </c>
      <c r="H5" s="16" t="s">
        <v>7</v>
      </c>
      <c r="I5" s="16" t="s">
        <v>8</v>
      </c>
      <c r="J5" s="16" t="s">
        <v>9</v>
      </c>
    </row>
    <row r="6" spans="2:10" ht="15" customHeight="1" x14ac:dyDescent="0.3">
      <c r="B6" s="18" t="s">
        <v>35</v>
      </c>
      <c r="C6" s="47">
        <f>Assumptions!C16</f>
        <v>3149</v>
      </c>
      <c r="D6" s="47">
        <f>Assumptions!D16</f>
        <v>3484</v>
      </c>
      <c r="E6" s="47">
        <f>Assumptions!E16</f>
        <v>3918</v>
      </c>
      <c r="F6" s="47">
        <f>Assumptions!F16</f>
        <v>4388.1600000000008</v>
      </c>
      <c r="G6" s="47">
        <f>Assumptions!G16</f>
        <v>4958.6208000000006</v>
      </c>
      <c r="H6" s="47">
        <f>Assumptions!H16</f>
        <v>5603.2415040000005</v>
      </c>
      <c r="I6" s="47">
        <f>Assumptions!I16</f>
        <v>6219.5980694400014</v>
      </c>
      <c r="J6" s="47">
        <f>Assumptions!J16</f>
        <v>6841.5578763840022</v>
      </c>
    </row>
    <row r="7" spans="2:10" ht="15" customHeight="1" x14ac:dyDescent="0.3">
      <c r="B7" s="24" t="s">
        <v>36</v>
      </c>
      <c r="C7" s="43" t="s">
        <v>12</v>
      </c>
      <c r="D7" s="48">
        <f>D6/C6-1</f>
        <v>0.1063829787234043</v>
      </c>
      <c r="E7" s="48">
        <f t="shared" ref="E7:J7" si="0">E6/D6-1</f>
        <v>0.12456946039035599</v>
      </c>
      <c r="F7" s="48">
        <f t="shared" si="0"/>
        <v>0.12000000000000011</v>
      </c>
      <c r="G7" s="48">
        <f t="shared" si="0"/>
        <v>0.12999999999999989</v>
      </c>
      <c r="H7" s="48">
        <f t="shared" si="0"/>
        <v>0.12999999999999989</v>
      </c>
      <c r="I7" s="48">
        <f t="shared" si="0"/>
        <v>0.1100000000000001</v>
      </c>
      <c r="J7" s="48">
        <f t="shared" si="0"/>
        <v>0.10000000000000009</v>
      </c>
    </row>
    <row r="8" spans="2:10" ht="15" customHeight="1" x14ac:dyDescent="0.3">
      <c r="B8" s="29" t="s">
        <v>37</v>
      </c>
      <c r="C8" s="49">
        <f>Assumptions!C17</f>
        <v>1978</v>
      </c>
      <c r="D8" s="49">
        <f>Assumptions!D17</f>
        <v>2299</v>
      </c>
      <c r="E8" s="49">
        <f>Assumptions!E17</f>
        <v>2602</v>
      </c>
      <c r="F8" s="49">
        <f>Assumptions!F17</f>
        <v>2940.0672000000009</v>
      </c>
      <c r="G8" s="49">
        <f>Assumptions!G17</f>
        <v>3347.0690400000008</v>
      </c>
      <c r="H8" s="49">
        <f>Assumptions!H17</f>
        <v>3810.2042227200004</v>
      </c>
      <c r="I8" s="49">
        <f>Assumptions!I17</f>
        <v>4241.7658833580808</v>
      </c>
      <c r="J8" s="49">
        <f>Assumptions!J17</f>
        <v>4679.6255874466578</v>
      </c>
    </row>
    <row r="9" spans="2:10" ht="15" customHeight="1" x14ac:dyDescent="0.3">
      <c r="B9" s="24" t="s">
        <v>38</v>
      </c>
      <c r="C9" s="48">
        <f>C8/C6</f>
        <v>0.62813591616386155</v>
      </c>
      <c r="D9" s="48">
        <f t="shared" ref="D9:J9" si="1">D8/D6</f>
        <v>0.6598737083811711</v>
      </c>
      <c r="E9" s="48">
        <f t="shared" si="1"/>
        <v>0.66411434405308833</v>
      </c>
      <c r="F9" s="48">
        <f t="shared" si="1"/>
        <v>0.67</v>
      </c>
      <c r="G9" s="48">
        <f t="shared" si="1"/>
        <v>0.67500000000000004</v>
      </c>
      <c r="H9" s="48">
        <f t="shared" si="1"/>
        <v>0.68</v>
      </c>
      <c r="I9" s="48">
        <f t="shared" si="1"/>
        <v>0.68199999999999994</v>
      </c>
      <c r="J9" s="48">
        <f t="shared" si="1"/>
        <v>0.68400000000000005</v>
      </c>
    </row>
    <row r="10" spans="2:10" ht="15" customHeight="1" x14ac:dyDescent="0.3">
      <c r="B10" s="18" t="s">
        <v>39</v>
      </c>
      <c r="C10" s="47">
        <f>Assumptions!C18</f>
        <v>696</v>
      </c>
      <c r="D10" s="47">
        <f>Assumptions!D18</f>
        <v>939</v>
      </c>
      <c r="E10" s="47">
        <f>Assumptions!E18</f>
        <v>1087</v>
      </c>
      <c r="F10" s="47">
        <f>Assumptions!F18</f>
        <v>1250.6256000000001</v>
      </c>
      <c r="G10" s="47">
        <f>Assumptions!G18</f>
        <v>1438.0000320000001</v>
      </c>
      <c r="H10" s="47">
        <f>Assumptions!H18</f>
        <v>1652.9562436800002</v>
      </c>
      <c r="I10" s="47">
        <f>Assumptions!I18</f>
        <v>1853.4402246931204</v>
      </c>
      <c r="J10" s="47">
        <f>Assumptions!J18</f>
        <v>2052.4673629152007</v>
      </c>
    </row>
    <row r="11" spans="2:10" ht="15" customHeight="1" x14ac:dyDescent="0.3">
      <c r="B11" s="24" t="s">
        <v>40</v>
      </c>
      <c r="C11" s="48">
        <f>C10/C6</f>
        <v>0.22102254684026676</v>
      </c>
      <c r="D11" s="48">
        <f t="shared" ref="D11:J11" si="2">D10/D6</f>
        <v>0.26951779563719863</v>
      </c>
      <c r="E11" s="48">
        <f t="shared" si="2"/>
        <v>0.27743746809596731</v>
      </c>
      <c r="F11" s="48">
        <f t="shared" si="2"/>
        <v>0.28499999999999998</v>
      </c>
      <c r="G11" s="48">
        <f t="shared" si="2"/>
        <v>0.28999999999999998</v>
      </c>
      <c r="H11" s="48">
        <f t="shared" si="2"/>
        <v>0.29499999999999998</v>
      </c>
      <c r="I11" s="48">
        <f t="shared" si="2"/>
        <v>0.29799999999999999</v>
      </c>
      <c r="J11" s="48">
        <f t="shared" si="2"/>
        <v>0.3</v>
      </c>
    </row>
    <row r="12" spans="2:10" ht="15" customHeight="1" x14ac:dyDescent="0.3">
      <c r="B12" s="29" t="s">
        <v>41</v>
      </c>
      <c r="C12" s="49">
        <f>Assumptions!C19</f>
        <v>114</v>
      </c>
      <c r="D12" s="49">
        <f>Assumptions!D19</f>
        <v>138</v>
      </c>
      <c r="E12" s="49">
        <f>Assumptions!E19</f>
        <v>171</v>
      </c>
      <c r="F12" s="49">
        <f>Assumptions!F19</f>
        <v>188.69088000000002</v>
      </c>
      <c r="G12" s="49">
        <f>Assumptions!G19</f>
        <v>208.26207360000004</v>
      </c>
      <c r="H12" s="49">
        <f>Assumptions!H19</f>
        <v>229.73290166400002</v>
      </c>
      <c r="I12" s="49">
        <f>Assumptions!I19</f>
        <v>255.00352084704008</v>
      </c>
      <c r="J12" s="49">
        <f>Assumptions!J19</f>
        <v>273.66231505536007</v>
      </c>
    </row>
    <row r="13" spans="2:10" ht="15" customHeight="1" x14ac:dyDescent="0.3">
      <c r="B13" s="18" t="s">
        <v>42</v>
      </c>
      <c r="C13" s="47">
        <f>Assumptions!C20</f>
        <v>582</v>
      </c>
      <c r="D13" s="47">
        <f>Assumptions!D20</f>
        <v>801</v>
      </c>
      <c r="E13" s="47">
        <f>Assumptions!E20</f>
        <v>916</v>
      </c>
      <c r="F13" s="47">
        <f>Assumptions!F20</f>
        <v>1061.93472</v>
      </c>
      <c r="G13" s="47">
        <f>Assumptions!G20</f>
        <v>1229.7379584</v>
      </c>
      <c r="H13" s="47">
        <f>Assumptions!H20</f>
        <v>1423.2233420160001</v>
      </c>
      <c r="I13" s="47">
        <f>Assumptions!I20</f>
        <v>1598.4367038460803</v>
      </c>
      <c r="J13" s="47">
        <f>Assumptions!J20</f>
        <v>1778.8050478598407</v>
      </c>
    </row>
    <row r="14" spans="2:10" ht="15" customHeight="1" x14ac:dyDescent="0.3">
      <c r="B14" s="29" t="s">
        <v>43</v>
      </c>
      <c r="C14" s="49">
        <f>Assumptions!C24</f>
        <v>36</v>
      </c>
      <c r="D14" s="49">
        <f>Assumptions!D24</f>
        <v>44</v>
      </c>
      <c r="E14" s="49">
        <f>Assumptions!E24</f>
        <v>12</v>
      </c>
      <c r="F14" s="49">
        <f>Assumptions!F24</f>
        <v>8</v>
      </c>
      <c r="G14" s="49">
        <f>Assumptions!G24</f>
        <v>6</v>
      </c>
      <c r="H14" s="49">
        <f>Assumptions!H24</f>
        <v>5</v>
      </c>
      <c r="I14" s="49">
        <f>Assumptions!I24</f>
        <v>5</v>
      </c>
      <c r="J14" s="49">
        <f>Assumptions!J24</f>
        <v>5</v>
      </c>
    </row>
    <row r="15" spans="2:10" ht="15" customHeight="1" x14ac:dyDescent="0.3">
      <c r="B15" s="29" t="s">
        <v>44</v>
      </c>
      <c r="C15" s="52">
        <v>10</v>
      </c>
      <c r="D15" s="52">
        <v>37</v>
      </c>
      <c r="E15" s="52">
        <v>38</v>
      </c>
      <c r="F15" s="53">
        <v>20</v>
      </c>
      <c r="G15" s="53">
        <v>20</v>
      </c>
      <c r="H15" s="53">
        <v>20</v>
      </c>
      <c r="I15" s="53">
        <v>20</v>
      </c>
      <c r="J15" s="53">
        <v>20</v>
      </c>
    </row>
    <row r="16" spans="2:10" ht="15" customHeight="1" x14ac:dyDescent="0.3">
      <c r="B16" s="18" t="s">
        <v>45</v>
      </c>
      <c r="C16" s="51">
        <f>C13-C14+C15</f>
        <v>556</v>
      </c>
      <c r="D16" s="51">
        <f t="shared" ref="D16:J16" si="3">D13-D14+D15</f>
        <v>794</v>
      </c>
      <c r="E16" s="51">
        <f t="shared" si="3"/>
        <v>942</v>
      </c>
      <c r="F16" s="51">
        <f t="shared" si="3"/>
        <v>1073.93472</v>
      </c>
      <c r="G16" s="51">
        <f t="shared" si="3"/>
        <v>1243.7379584</v>
      </c>
      <c r="H16" s="51">
        <f t="shared" si="3"/>
        <v>1438.2233420160001</v>
      </c>
      <c r="I16" s="51">
        <f t="shared" si="3"/>
        <v>1613.4367038460803</v>
      </c>
      <c r="J16" s="51">
        <f t="shared" si="3"/>
        <v>1793.8050478598407</v>
      </c>
    </row>
    <row r="17" spans="2:10" ht="15" customHeight="1" x14ac:dyDescent="0.3">
      <c r="B17" s="29" t="s">
        <v>46</v>
      </c>
      <c r="C17" s="49">
        <f>MAX(0,C16*Assumptions!C25)</f>
        <v>143.44800000000001</v>
      </c>
      <c r="D17" s="49">
        <f>MAX(0,D16*Assumptions!D25)</f>
        <v>207.23400000000001</v>
      </c>
      <c r="E17" s="49">
        <f>MAX(0,E16*Assumptions!E25)</f>
        <v>243.97800000000001</v>
      </c>
      <c r="F17" s="49">
        <f>MAX(0,F16*Assumptions!F25)</f>
        <v>277.07515776000002</v>
      </c>
      <c r="G17" s="49">
        <f>MAX(0,G16*Assumptions!G25)</f>
        <v>320.88439326720004</v>
      </c>
      <c r="H17" s="49">
        <f>MAX(0,H16*Assumptions!H25)</f>
        <v>371.06162224012803</v>
      </c>
      <c r="I17" s="49">
        <f>MAX(0,I16*Assumptions!I25)</f>
        <v>416.26666959228874</v>
      </c>
      <c r="J17" s="49">
        <f>MAX(0,J16*Assumptions!J25)</f>
        <v>462.8017023478389</v>
      </c>
    </row>
    <row r="18" spans="2:10" ht="15" customHeight="1" x14ac:dyDescent="0.3">
      <c r="B18" s="18" t="s">
        <v>47</v>
      </c>
      <c r="C18" s="51">
        <f>C16-C17</f>
        <v>412.55200000000002</v>
      </c>
      <c r="D18" s="51">
        <f t="shared" ref="D18:J18" si="4">D16-D17</f>
        <v>586.76599999999996</v>
      </c>
      <c r="E18" s="51">
        <f t="shared" si="4"/>
        <v>698.02199999999993</v>
      </c>
      <c r="F18" s="51">
        <f t="shared" si="4"/>
        <v>796.85956223999995</v>
      </c>
      <c r="G18" s="51">
        <f t="shared" si="4"/>
        <v>922.85356513279999</v>
      </c>
      <c r="H18" s="51">
        <f t="shared" si="4"/>
        <v>1067.1617197758719</v>
      </c>
      <c r="I18" s="51">
        <f t="shared" si="4"/>
        <v>1197.1700342537915</v>
      </c>
      <c r="J18" s="51">
        <f t="shared" si="4"/>
        <v>1331.0033455120017</v>
      </c>
    </row>
    <row r="19" spans="2:10" ht="15" customHeight="1" x14ac:dyDescent="0.3">
      <c r="B19" s="24" t="s">
        <v>48</v>
      </c>
      <c r="C19" s="48">
        <f>C18/C6</f>
        <v>0.1310104795173071</v>
      </c>
      <c r="D19" s="48">
        <f t="shared" ref="D19:J19" si="5">D18/D6</f>
        <v>0.16841733639494832</v>
      </c>
      <c r="E19" s="48">
        <f t="shared" si="5"/>
        <v>0.17815773353751913</v>
      </c>
      <c r="F19" s="48">
        <f t="shared" si="5"/>
        <v>0.18159309647779476</v>
      </c>
      <c r="G19" s="48">
        <f t="shared" si="5"/>
        <v>0.18611093736645479</v>
      </c>
      <c r="H19" s="48">
        <f t="shared" si="5"/>
        <v>0.19045435022103802</v>
      </c>
      <c r="I19" s="48">
        <f t="shared" si="5"/>
        <v>0.19248350470363787</v>
      </c>
      <c r="J19" s="48">
        <f t="shared" si="5"/>
        <v>0.19454682245785263</v>
      </c>
    </row>
    <row r="20" spans="2:10" ht="15" customHeight="1" x14ac:dyDescent="0.3">
      <c r="B20" s="29" t="s">
        <v>49</v>
      </c>
      <c r="C20" s="54">
        <v>26.48</v>
      </c>
      <c r="D20" s="54">
        <v>35.61</v>
      </c>
      <c r="E20" s="54">
        <v>42.37</v>
      </c>
      <c r="F20" s="57">
        <f>F18/Assumptions!$C$47</f>
        <v>49.648570856074763</v>
      </c>
      <c r="G20" s="57">
        <f>G18/Assumptions!$C$47</f>
        <v>57.498664494255451</v>
      </c>
      <c r="H20" s="57">
        <f>H18/Assumptions!$C$47</f>
        <v>66.489826777312885</v>
      </c>
      <c r="I20" s="57">
        <f>I18/Assumptions!$C$47</f>
        <v>74.590033286840594</v>
      </c>
      <c r="J20" s="57">
        <f>J18/Assumptions!$C$47</f>
        <v>82.928557352772685</v>
      </c>
    </row>
    <row r="22" spans="2:10" ht="15" customHeight="1" x14ac:dyDescent="0.3">
      <c r="B22" s="55" t="s">
        <v>50</v>
      </c>
    </row>
    <row r="23" spans="2:10" ht="15" customHeight="1" x14ac:dyDescent="0.3">
      <c r="C23" s="16" t="s">
        <v>2</v>
      </c>
      <c r="D23" s="16" t="s">
        <v>3</v>
      </c>
      <c r="E23" s="16" t="s">
        <v>4</v>
      </c>
      <c r="F23" s="16" t="s">
        <v>5</v>
      </c>
      <c r="G23" s="16" t="s">
        <v>6</v>
      </c>
      <c r="H23" s="16" t="s">
        <v>7</v>
      </c>
      <c r="I23" s="16" t="s">
        <v>8</v>
      </c>
      <c r="J23" s="16" t="s">
        <v>9</v>
      </c>
    </row>
    <row r="24" spans="2:10" ht="15" customHeight="1" x14ac:dyDescent="0.3">
      <c r="B24" s="18" t="s">
        <v>39</v>
      </c>
      <c r="C24" s="47">
        <f>C10</f>
        <v>696</v>
      </c>
      <c r="D24" s="47">
        <f t="shared" ref="D24:J24" si="6">D10</f>
        <v>939</v>
      </c>
      <c r="E24" s="47">
        <f t="shared" si="6"/>
        <v>1087</v>
      </c>
      <c r="F24" s="47">
        <f t="shared" si="6"/>
        <v>1250.6256000000001</v>
      </c>
      <c r="G24" s="47">
        <f t="shared" si="6"/>
        <v>1438.0000320000001</v>
      </c>
      <c r="H24" s="47">
        <f t="shared" si="6"/>
        <v>1652.9562436800002</v>
      </c>
      <c r="I24" s="47">
        <f t="shared" si="6"/>
        <v>1853.4402246931204</v>
      </c>
      <c r="J24" s="47">
        <f t="shared" si="6"/>
        <v>2052.4673629152007</v>
      </c>
    </row>
    <row r="25" spans="2:10" ht="15" customHeight="1" x14ac:dyDescent="0.3">
      <c r="B25" s="29" t="s">
        <v>51</v>
      </c>
      <c r="C25" s="49">
        <f>-Assumptions!C20*Assumptions!C25</f>
        <v>-150.15600000000001</v>
      </c>
      <c r="D25" s="49">
        <f>-Assumptions!D20*Assumptions!D25</f>
        <v>-209.06100000000001</v>
      </c>
      <c r="E25" s="49">
        <f>-Assumptions!E20*Assumptions!E25</f>
        <v>-237.244</v>
      </c>
      <c r="F25" s="49">
        <f>-Assumptions!F20*Assumptions!F25</f>
        <v>-273.97915776000002</v>
      </c>
      <c r="G25" s="49">
        <f>-Assumptions!G20*Assumptions!G25</f>
        <v>-317.27239326720002</v>
      </c>
      <c r="H25" s="49">
        <f>-Assumptions!H20*Assumptions!H25</f>
        <v>-367.19162224012803</v>
      </c>
      <c r="I25" s="49">
        <f>-Assumptions!I20*Assumptions!I25</f>
        <v>-412.39666959228873</v>
      </c>
      <c r="J25" s="49">
        <f>-Assumptions!J20*Assumptions!J25</f>
        <v>-458.93170234783889</v>
      </c>
    </row>
    <row r="26" spans="2:10" ht="15" customHeight="1" x14ac:dyDescent="0.3">
      <c r="B26" s="29" t="s">
        <v>52</v>
      </c>
      <c r="C26" s="49">
        <f>-Assumptions!C21</f>
        <v>-765</v>
      </c>
      <c r="D26" s="49">
        <f>-Assumptions!D21</f>
        <v>-261</v>
      </c>
      <c r="E26" s="49">
        <f>-Assumptions!E21</f>
        <v>-120</v>
      </c>
      <c r="F26" s="49">
        <f>-Assumptions!F21</f>
        <v>-140.42112000000003</v>
      </c>
      <c r="G26" s="49">
        <f>-Assumptions!G21</f>
        <v>-158.67586560000001</v>
      </c>
      <c r="H26" s="49">
        <f>-Assumptions!H21</f>
        <v>-173.70048662400001</v>
      </c>
      <c r="I26" s="49">
        <f>-Assumptions!I21</f>
        <v>-186.58794208320003</v>
      </c>
      <c r="J26" s="49">
        <f>-Assumptions!J21</f>
        <v>-191.56362053875208</v>
      </c>
    </row>
    <row r="27" spans="2:10" ht="15" customHeight="1" x14ac:dyDescent="0.3">
      <c r="B27" s="29" t="s">
        <v>53</v>
      </c>
      <c r="C27" s="56">
        <v>-94</v>
      </c>
      <c r="D27" s="56">
        <v>-30</v>
      </c>
      <c r="E27" s="56">
        <v>7</v>
      </c>
      <c r="F27" s="49">
        <f>-Assumptions!F23</f>
        <v>-144.96600000000012</v>
      </c>
      <c r="G27" s="49">
        <f>-Assumptions!G23</f>
        <v>-146.34513599999991</v>
      </c>
      <c r="H27" s="49">
        <f>-Assumptions!H23</f>
        <v>-162.14690016000009</v>
      </c>
      <c r="I27" s="49">
        <f>-Assumptions!I23</f>
        <v>-147.64541363040007</v>
      </c>
      <c r="J27" s="49">
        <f>-Assumptions!J23</f>
        <v>-143.05075559712054</v>
      </c>
    </row>
    <row r="28" spans="2:10" ht="15" customHeight="1" x14ac:dyDescent="0.3">
      <c r="B28" s="18" t="s">
        <v>54</v>
      </c>
      <c r="C28" s="51">
        <f>C24+C25+C26+C27</f>
        <v>-313.15599999999995</v>
      </c>
      <c r="D28" s="51">
        <f t="shared" ref="D28:J28" si="7">D24+D25+D26+D27</f>
        <v>438.93899999999996</v>
      </c>
      <c r="E28" s="51">
        <f t="shared" si="7"/>
        <v>736.75599999999997</v>
      </c>
      <c r="F28" s="51">
        <f t="shared" si="7"/>
        <v>691.25932223999985</v>
      </c>
      <c r="G28" s="51">
        <f t="shared" si="7"/>
        <v>815.70663713280032</v>
      </c>
      <c r="H28" s="51">
        <f t="shared" si="7"/>
        <v>949.91723465587211</v>
      </c>
      <c r="I28" s="51">
        <f t="shared" si="7"/>
        <v>1106.8101993872317</v>
      </c>
      <c r="J28" s="51">
        <f t="shared" si="7"/>
        <v>1258.9212844314893</v>
      </c>
    </row>
  </sheetData>
  <sheetProtection algorithmName="SHA-512" hashValue="T/ouB1YQBruSAuXXhz7Wh47ey0abNEDimcdDx/QvxLRPBL+6Ijob7Mef2lWc5mduhg4RlQfiwAbUa0Yhpre+UQ==" saltValue="wScX5LxCabaDNf2dmahZVA==" spinCount="100000" sheet="1" objects="1" scenarios="1"/>
  <mergeCells count="3">
    <mergeCell ref="B1:J1"/>
    <mergeCell ref="B2:J2"/>
    <mergeCell ref="B4:J4"/>
  </mergeCells>
  <pageMargins left="0.75" right="0.75" top="1" bottom="1" header="0.511811023622047" footer="0.511811023622047"/>
  <pageSetup paperSize="9" scale="96"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46"/>
  <sheetViews>
    <sheetView showGridLines="0" zoomScale="103" zoomScaleNormal="103" zoomScaleSheetLayoutView="104" workbookViewId="0"/>
  </sheetViews>
  <sheetFormatPr defaultColWidth="8.6640625" defaultRowHeight="14.4" x14ac:dyDescent="0.3"/>
  <cols>
    <col min="1" max="1" width="2.33203125" style="1" customWidth="1"/>
    <col min="2" max="2" width="33.88671875" style="1" customWidth="1"/>
    <col min="3" max="3" width="7.33203125" style="1" bestFit="1" customWidth="1"/>
    <col min="4" max="7" width="13" style="1" customWidth="1"/>
    <col min="8" max="8" width="55" style="1" customWidth="1"/>
    <col min="9" max="16384" width="8.6640625" style="1"/>
  </cols>
  <sheetData>
    <row r="1" spans="1:7" ht="15" customHeight="1" x14ac:dyDescent="0.3">
      <c r="B1" s="264" t="s">
        <v>95</v>
      </c>
      <c r="C1" s="264"/>
      <c r="D1" s="264"/>
      <c r="E1" s="264"/>
      <c r="F1" s="264"/>
      <c r="G1" s="264"/>
    </row>
    <row r="2" spans="1:7" ht="15" customHeight="1" x14ac:dyDescent="0.3">
      <c r="B2" s="265" t="s">
        <v>301</v>
      </c>
      <c r="C2" s="265"/>
      <c r="D2" s="265"/>
      <c r="E2" s="265"/>
      <c r="F2" s="265"/>
      <c r="G2" s="265"/>
    </row>
    <row r="4" spans="1:7" ht="15" customHeight="1" thickBot="1" x14ac:dyDescent="0.35">
      <c r="A4" s="1" t="s">
        <v>286</v>
      </c>
      <c r="B4" s="269" t="s">
        <v>96</v>
      </c>
      <c r="C4" s="269"/>
      <c r="D4" s="269"/>
      <c r="E4" s="269"/>
      <c r="F4" s="269"/>
      <c r="G4" s="269"/>
    </row>
    <row r="5" spans="1:7" ht="27.75" customHeight="1" x14ac:dyDescent="0.3">
      <c r="C5" s="58" t="s">
        <v>97</v>
      </c>
      <c r="D5" s="58" t="s">
        <v>98</v>
      </c>
      <c r="E5" s="58" t="s">
        <v>99</v>
      </c>
      <c r="F5" s="58" t="s">
        <v>100</v>
      </c>
      <c r="G5" s="58" t="s">
        <v>101</v>
      </c>
    </row>
    <row r="6" spans="1:7" ht="20.25" customHeight="1" x14ac:dyDescent="0.3">
      <c r="B6" s="59" t="s">
        <v>102</v>
      </c>
      <c r="C6" s="22">
        <v>45</v>
      </c>
      <c r="D6" s="22">
        <v>80</v>
      </c>
      <c r="E6" s="22">
        <v>100</v>
      </c>
      <c r="F6" s="22">
        <v>110</v>
      </c>
      <c r="G6" s="22">
        <v>115</v>
      </c>
    </row>
    <row r="7" spans="1:7" ht="15" customHeight="1" x14ac:dyDescent="0.3">
      <c r="B7" s="59" t="s">
        <v>103</v>
      </c>
      <c r="C7" s="22">
        <v>20</v>
      </c>
      <c r="D7" s="22">
        <v>40</v>
      </c>
      <c r="E7" s="22">
        <v>55</v>
      </c>
      <c r="F7" s="22">
        <v>60</v>
      </c>
      <c r="G7" s="22">
        <v>65</v>
      </c>
    </row>
    <row r="8" spans="1:7" ht="15" customHeight="1" x14ac:dyDescent="0.3">
      <c r="B8" s="59" t="s">
        <v>104</v>
      </c>
      <c r="C8" s="22">
        <v>10</v>
      </c>
      <c r="D8" s="22">
        <v>25</v>
      </c>
      <c r="E8" s="22">
        <v>40</v>
      </c>
      <c r="F8" s="22">
        <v>50</v>
      </c>
      <c r="G8" s="22">
        <v>55</v>
      </c>
    </row>
    <row r="9" spans="1:7" ht="15" customHeight="1" x14ac:dyDescent="0.3">
      <c r="B9" s="59" t="s">
        <v>105</v>
      </c>
      <c r="C9" s="22">
        <v>10</v>
      </c>
      <c r="D9" s="22">
        <v>15</v>
      </c>
      <c r="E9" s="22">
        <v>20</v>
      </c>
      <c r="F9" s="22">
        <v>22</v>
      </c>
      <c r="G9" s="22">
        <v>25</v>
      </c>
    </row>
    <row r="10" spans="1:7" ht="15" customHeight="1" x14ac:dyDescent="0.3">
      <c r="B10" s="59" t="s">
        <v>106</v>
      </c>
      <c r="C10" s="22">
        <v>0</v>
      </c>
      <c r="D10" s="22">
        <v>0</v>
      </c>
      <c r="E10" s="22">
        <v>30</v>
      </c>
      <c r="F10" s="22">
        <v>35</v>
      </c>
      <c r="G10" s="22">
        <v>38</v>
      </c>
    </row>
    <row r="11" spans="1:7" ht="15" customHeight="1" x14ac:dyDescent="0.3">
      <c r="B11" s="18" t="s">
        <v>107</v>
      </c>
      <c r="C11" s="73">
        <f>SUM(C6:C10)</f>
        <v>85</v>
      </c>
      <c r="D11" s="73">
        <f>SUM(D6:D10)</f>
        <v>160</v>
      </c>
      <c r="E11" s="73">
        <f>SUM(E6:E10)</f>
        <v>245</v>
      </c>
      <c r="F11" s="73">
        <f>SUM(F6:F10)</f>
        <v>277</v>
      </c>
      <c r="G11" s="73">
        <f>SUM(G6:G10)</f>
        <v>298</v>
      </c>
    </row>
    <row r="13" spans="1:7" ht="15" customHeight="1" thickBot="1" x14ac:dyDescent="0.35">
      <c r="A13" s="1" t="s">
        <v>286</v>
      </c>
      <c r="B13" s="269" t="s">
        <v>108</v>
      </c>
      <c r="C13" s="269"/>
      <c r="D13" s="269"/>
      <c r="E13" s="269"/>
      <c r="F13" s="269"/>
      <c r="G13" s="269"/>
    </row>
    <row r="14" spans="1:7" ht="27.6" x14ac:dyDescent="0.3">
      <c r="C14" s="58" t="s">
        <v>97</v>
      </c>
      <c r="D14" s="58" t="s">
        <v>98</v>
      </c>
      <c r="E14" s="58" t="s">
        <v>99</v>
      </c>
      <c r="F14" s="58" t="s">
        <v>100</v>
      </c>
      <c r="G14" s="58" t="s">
        <v>101</v>
      </c>
    </row>
    <row r="15" spans="1:7" ht="20.25" customHeight="1" x14ac:dyDescent="0.3">
      <c r="B15" s="59" t="s">
        <v>109</v>
      </c>
      <c r="C15" s="22">
        <v>0</v>
      </c>
      <c r="D15" s="22">
        <v>30</v>
      </c>
      <c r="E15" s="22">
        <v>60</v>
      </c>
      <c r="F15" s="22">
        <v>75</v>
      </c>
      <c r="G15" s="22">
        <v>85</v>
      </c>
    </row>
    <row r="16" spans="1:7" ht="20.25" customHeight="1" x14ac:dyDescent="0.3">
      <c r="B16" s="59" t="s">
        <v>110</v>
      </c>
      <c r="C16" s="22">
        <v>0</v>
      </c>
      <c r="D16" s="22">
        <v>15</v>
      </c>
      <c r="E16" s="22">
        <v>30</v>
      </c>
      <c r="F16" s="22">
        <v>40</v>
      </c>
      <c r="G16" s="22">
        <v>45</v>
      </c>
    </row>
    <row r="17" spans="1:7" ht="15" customHeight="1" x14ac:dyDescent="0.3">
      <c r="B17" s="59" t="s">
        <v>111</v>
      </c>
      <c r="C17" s="22">
        <v>0</v>
      </c>
      <c r="D17" s="22">
        <v>20</v>
      </c>
      <c r="E17" s="22">
        <v>45</v>
      </c>
      <c r="F17" s="22">
        <v>60</v>
      </c>
      <c r="G17" s="22">
        <v>70</v>
      </c>
    </row>
    <row r="18" spans="1:7" ht="15" customHeight="1" x14ac:dyDescent="0.3">
      <c r="B18" s="59" t="s">
        <v>112</v>
      </c>
      <c r="C18" s="22">
        <v>0</v>
      </c>
      <c r="D18" s="22">
        <v>10</v>
      </c>
      <c r="E18" s="22">
        <v>20</v>
      </c>
      <c r="F18" s="22">
        <v>30</v>
      </c>
      <c r="G18" s="22">
        <v>35</v>
      </c>
    </row>
    <row r="19" spans="1:7" ht="15" customHeight="1" x14ac:dyDescent="0.3">
      <c r="B19" s="41" t="s">
        <v>113</v>
      </c>
      <c r="C19" s="74">
        <f>SUM(C15:C18)</f>
        <v>0</v>
      </c>
      <c r="D19" s="74">
        <f>SUM(D15:D18)</f>
        <v>75</v>
      </c>
      <c r="E19" s="74">
        <f>SUM(E15:E18)</f>
        <v>155</v>
      </c>
      <c r="F19" s="74">
        <f>SUM(F15:F18)</f>
        <v>205</v>
      </c>
      <c r="G19" s="74">
        <f>SUM(G15:G18)</f>
        <v>235</v>
      </c>
    </row>
    <row r="21" spans="1:7" ht="15" customHeight="1" thickBot="1" x14ac:dyDescent="0.35">
      <c r="A21" s="1" t="s">
        <v>286</v>
      </c>
      <c r="B21" s="270" t="s">
        <v>302</v>
      </c>
      <c r="C21" s="270"/>
      <c r="D21" s="270"/>
      <c r="E21" s="270"/>
      <c r="F21" s="270"/>
      <c r="G21" s="270"/>
    </row>
    <row r="22" spans="1:7" ht="27.75" customHeight="1" x14ac:dyDescent="0.3">
      <c r="B22" s="60"/>
      <c r="C22" s="61" t="s">
        <v>97</v>
      </c>
      <c r="D22" s="61" t="s">
        <v>98</v>
      </c>
      <c r="E22" s="61" t="s">
        <v>99</v>
      </c>
      <c r="F22" s="61" t="s">
        <v>100</v>
      </c>
      <c r="G22" s="61" t="s">
        <v>101</v>
      </c>
    </row>
    <row r="23" spans="1:7" ht="15" customHeight="1" x14ac:dyDescent="0.3">
      <c r="B23" s="62" t="s">
        <v>348</v>
      </c>
      <c r="C23" s="22">
        <v>80</v>
      </c>
      <c r="D23" s="22">
        <v>60</v>
      </c>
      <c r="E23" s="22">
        <v>20</v>
      </c>
      <c r="F23" s="22">
        <v>0</v>
      </c>
      <c r="G23" s="22">
        <v>0</v>
      </c>
    </row>
    <row r="24" spans="1:7" ht="15" customHeight="1" x14ac:dyDescent="0.3">
      <c r="B24" s="62" t="s">
        <v>349</v>
      </c>
      <c r="C24" s="22">
        <v>30</v>
      </c>
      <c r="D24" s="22">
        <v>20</v>
      </c>
      <c r="E24" s="22">
        <v>0</v>
      </c>
      <c r="F24" s="22">
        <v>0</v>
      </c>
      <c r="G24" s="22">
        <v>0</v>
      </c>
    </row>
    <row r="25" spans="1:7" ht="15" customHeight="1" x14ac:dyDescent="0.3">
      <c r="B25" s="62" t="s">
        <v>350</v>
      </c>
      <c r="C25" s="22">
        <v>40</v>
      </c>
      <c r="D25" s="22">
        <v>0</v>
      </c>
      <c r="E25" s="22">
        <v>0</v>
      </c>
      <c r="F25" s="22">
        <v>0</v>
      </c>
      <c r="G25" s="22">
        <v>0</v>
      </c>
    </row>
    <row r="26" spans="1:7" ht="15" customHeight="1" x14ac:dyDescent="0.3">
      <c r="B26" s="63" t="s">
        <v>114</v>
      </c>
      <c r="C26" s="75">
        <f>SUM(C23:C25)</f>
        <v>150</v>
      </c>
      <c r="D26" s="75">
        <f>SUM(D23:D25)</f>
        <v>80</v>
      </c>
      <c r="E26" s="75">
        <f>SUM(E23:E25)</f>
        <v>20</v>
      </c>
      <c r="F26" s="75">
        <f>SUM(F23:F25)</f>
        <v>0</v>
      </c>
      <c r="G26" s="75">
        <f>SUM(G23:G25)</f>
        <v>0</v>
      </c>
    </row>
    <row r="27" spans="1:7" ht="15" customHeight="1" x14ac:dyDescent="0.3"/>
    <row r="28" spans="1:7" ht="15" customHeight="1" thickBot="1" x14ac:dyDescent="0.35">
      <c r="A28" s="1" t="s">
        <v>286</v>
      </c>
      <c r="B28" s="267" t="s">
        <v>115</v>
      </c>
      <c r="C28" s="267"/>
      <c r="D28" s="267"/>
      <c r="E28" s="267"/>
      <c r="F28" s="267"/>
      <c r="G28" s="268"/>
    </row>
    <row r="29" spans="1:7" ht="27.75" customHeight="1" x14ac:dyDescent="0.3">
      <c r="B29" s="60"/>
      <c r="C29" s="61" t="s">
        <v>97</v>
      </c>
      <c r="D29" s="61" t="s">
        <v>98</v>
      </c>
      <c r="E29" s="64" t="s">
        <v>99</v>
      </c>
      <c r="F29" s="61" t="s">
        <v>100</v>
      </c>
      <c r="G29" s="61" t="s">
        <v>101</v>
      </c>
    </row>
    <row r="30" spans="1:7" ht="15" customHeight="1" x14ac:dyDescent="0.3">
      <c r="B30" s="65" t="s">
        <v>116</v>
      </c>
      <c r="C30" s="76">
        <f>C11+C19-C26</f>
        <v>-65</v>
      </c>
      <c r="D30" s="76">
        <f>D11+D19-D26</f>
        <v>155</v>
      </c>
      <c r="E30" s="76">
        <f>E11+E19-E26</f>
        <v>380</v>
      </c>
      <c r="F30" s="76">
        <f>F11+F19-F26</f>
        <v>482</v>
      </c>
      <c r="G30" s="76">
        <f>G11+G19-G26</f>
        <v>533</v>
      </c>
    </row>
    <row r="31" spans="1:7" ht="15" customHeight="1" x14ac:dyDescent="0.3"/>
    <row r="32" spans="1:7" ht="15" customHeight="1" thickBot="1" x14ac:dyDescent="0.35">
      <c r="B32" s="267" t="s">
        <v>244</v>
      </c>
      <c r="C32" s="267"/>
      <c r="D32" s="267"/>
      <c r="E32" s="267"/>
      <c r="F32" s="267"/>
      <c r="G32" s="268"/>
    </row>
    <row r="33" spans="2:8" ht="4.95" customHeight="1" x14ac:dyDescent="0.3"/>
    <row r="34" spans="2:8" x14ac:dyDescent="0.3">
      <c r="B34" s="66" t="s">
        <v>242</v>
      </c>
      <c r="C34" s="77">
        <f>C30*(1-Assumptions!F32)</f>
        <v>-47.449999999999996</v>
      </c>
      <c r="D34" s="77">
        <f>D30*(1-Assumptions!G32)</f>
        <v>113.14999999999999</v>
      </c>
      <c r="E34" s="77">
        <f>E30*(1-Assumptions!H32)</f>
        <v>277.39999999999998</v>
      </c>
      <c r="F34" s="77">
        <f>F30*(1-Assumptions!I32)</f>
        <v>351.86</v>
      </c>
      <c r="G34" s="77">
        <f>G30*(1-Assumptions!J32)</f>
        <v>389.09</v>
      </c>
    </row>
    <row r="35" spans="2:8" x14ac:dyDescent="0.3">
      <c r="B35" s="66" t="s">
        <v>148</v>
      </c>
      <c r="C35" s="67">
        <v>0.5</v>
      </c>
      <c r="D35" s="78">
        <f>C35+1</f>
        <v>1.5</v>
      </c>
      <c r="E35" s="78">
        <f t="shared" ref="E35:G35" si="0">D35+1</f>
        <v>2.5</v>
      </c>
      <c r="F35" s="78">
        <f t="shared" si="0"/>
        <v>3.5</v>
      </c>
      <c r="G35" s="78">
        <f t="shared" si="0"/>
        <v>4.5</v>
      </c>
    </row>
    <row r="36" spans="2:8" x14ac:dyDescent="0.3">
      <c r="B36" s="66" t="s">
        <v>243</v>
      </c>
      <c r="C36" s="77">
        <f>C34/(1+Valuation!$D$19)^Synergies!C35</f>
        <v>-45.090817750855308</v>
      </c>
      <c r="D36" s="77">
        <f>D34/(1+Valuation!$D$19)^Synergies!D35</f>
        <v>97.097990665233553</v>
      </c>
      <c r="E36" s="77">
        <f>E34/(1+Valuation!$D$19)^Synergies!E35</f>
        <v>214.96409706549971</v>
      </c>
      <c r="F36" s="77">
        <f>F34/(1+Valuation!$D$19)^Synergies!F35</f>
        <v>246.22557602642587</v>
      </c>
      <c r="G36" s="77">
        <f>G34/(1+Valuation!$D$19)^Synergies!G35</f>
        <v>245.87655670199226</v>
      </c>
    </row>
    <row r="37" spans="2:8" ht="4.95" customHeight="1" x14ac:dyDescent="0.3">
      <c r="B37" s="68"/>
      <c r="C37" s="69"/>
      <c r="D37" s="69"/>
      <c r="E37" s="69"/>
      <c r="F37" s="69"/>
      <c r="G37" s="69"/>
    </row>
    <row r="38" spans="2:8" x14ac:dyDescent="0.3">
      <c r="B38" s="66" t="s">
        <v>239</v>
      </c>
      <c r="C38" s="77">
        <f>G34</f>
        <v>389.09</v>
      </c>
      <c r="E38" s="68"/>
      <c r="F38" s="68"/>
      <c r="G38" s="68"/>
      <c r="H38" s="70"/>
    </row>
    <row r="39" spans="2:8" x14ac:dyDescent="0.3">
      <c r="B39" s="66" t="s">
        <v>236</v>
      </c>
      <c r="C39" s="71">
        <v>18</v>
      </c>
      <c r="E39" s="68"/>
      <c r="F39" s="68"/>
      <c r="G39" s="68"/>
    </row>
    <row r="40" spans="2:8" x14ac:dyDescent="0.3">
      <c r="B40" s="66" t="s">
        <v>240</v>
      </c>
      <c r="C40" s="77">
        <f>G30*C39</f>
        <v>9594</v>
      </c>
      <c r="E40" s="68"/>
      <c r="F40" s="68"/>
      <c r="G40" s="68"/>
    </row>
    <row r="41" spans="2:8" x14ac:dyDescent="0.3">
      <c r="B41" s="66" t="s">
        <v>241</v>
      </c>
      <c r="C41" s="77">
        <f>C40/(1+Valuation!$D$19)^5</f>
        <v>5761.2757519590277</v>
      </c>
      <c r="E41" s="68"/>
      <c r="F41" s="68"/>
      <c r="G41" s="68"/>
    </row>
    <row r="42" spans="2:8" x14ac:dyDescent="0.3">
      <c r="B42" s="72" t="s">
        <v>240</v>
      </c>
      <c r="C42" s="79">
        <f>SUM(C36:G36)+C41</f>
        <v>6520.349154667324</v>
      </c>
      <c r="E42" s="68"/>
      <c r="F42" s="68"/>
      <c r="G42" s="68"/>
    </row>
    <row r="45" spans="2:8" ht="23.25" customHeight="1" x14ac:dyDescent="0.3"/>
    <row r="46" spans="2:8" ht="14.25" customHeight="1" x14ac:dyDescent="0.3"/>
  </sheetData>
  <sheetProtection algorithmName="SHA-512" hashValue="zJ03pu4vMsXq5YUQjzO35sHPpIQDSM7MBQEnKln496FD9PJix2rRcN4syhwy+qJAgrI136efRFPvHEsIPC2o0Q==" saltValue="DR64rkDyDHLzRhcowU7t8w==" spinCount="100000" sheet="1" objects="1" scenarios="1"/>
  <mergeCells count="7">
    <mergeCell ref="B2:G2"/>
    <mergeCell ref="B1:G1"/>
    <mergeCell ref="B32:G32"/>
    <mergeCell ref="B28:G28"/>
    <mergeCell ref="B4:G4"/>
    <mergeCell ref="B13:G13"/>
    <mergeCell ref="B21:G21"/>
  </mergeCells>
  <pageMargins left="1.64" right="0.75" top="1" bottom="1" header="0.511811023622047" footer="0.511811023622047"/>
  <pageSetup paperSize="9"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55"/>
  <sheetViews>
    <sheetView showGridLines="0" zoomScale="97" zoomScaleNormal="97" workbookViewId="0">
      <pane xSplit="2" ySplit="3" topLeftCell="C4" activePane="bottomRight" state="frozen"/>
      <selection pane="topRight" activeCell="B1" sqref="B1"/>
      <selection pane="bottomLeft" activeCell="A44" sqref="A44"/>
      <selection pane="bottomRight"/>
    </sheetView>
  </sheetViews>
  <sheetFormatPr defaultColWidth="8.6640625" defaultRowHeight="14.4" x14ac:dyDescent="0.3"/>
  <cols>
    <col min="1" max="1" width="2.33203125" style="1" customWidth="1"/>
    <col min="2" max="2" width="47.88671875" style="1" bestFit="1" customWidth="1"/>
    <col min="3" max="3" width="20" style="1" customWidth="1"/>
    <col min="4" max="4" width="28" style="1" customWidth="1"/>
    <col min="5" max="5" width="22" style="1" customWidth="1"/>
    <col min="6" max="6" width="36.44140625" style="1" customWidth="1"/>
    <col min="7" max="16384" width="8.6640625" style="1"/>
  </cols>
  <sheetData>
    <row r="1" spans="1:6" ht="15" customHeight="1" x14ac:dyDescent="0.3">
      <c r="B1" s="264" t="s">
        <v>58</v>
      </c>
      <c r="C1" s="264"/>
      <c r="D1" s="264"/>
      <c r="E1" s="264"/>
    </row>
    <row r="2" spans="1:6" ht="15" customHeight="1" x14ac:dyDescent="0.3">
      <c r="B2" s="265" t="s">
        <v>59</v>
      </c>
      <c r="C2" s="265"/>
      <c r="D2" s="265"/>
      <c r="E2" s="265"/>
    </row>
    <row r="4" spans="1:6" ht="15" customHeight="1" x14ac:dyDescent="0.3">
      <c r="A4" s="1" t="s">
        <v>286</v>
      </c>
      <c r="B4" s="271" t="s">
        <v>60</v>
      </c>
      <c r="C4" s="271"/>
      <c r="D4" s="271"/>
      <c r="E4" s="271"/>
    </row>
    <row r="5" spans="1:6" ht="15" customHeight="1" x14ac:dyDescent="0.3">
      <c r="B5" s="29" t="s">
        <v>25</v>
      </c>
      <c r="C5" s="88">
        <f>Assumptions!$C$47</f>
        <v>16.05</v>
      </c>
      <c r="E5" s="80"/>
    </row>
    <row r="6" spans="1:6" ht="15" customHeight="1" x14ac:dyDescent="0.3">
      <c r="B6" s="29" t="s">
        <v>351</v>
      </c>
      <c r="C6" s="89">
        <f>Assumptions!$C$48</f>
        <v>1600</v>
      </c>
      <c r="E6" s="80"/>
    </row>
    <row r="7" spans="1:6" ht="15" customHeight="1" x14ac:dyDescent="0.3">
      <c r="B7" s="29" t="s">
        <v>61</v>
      </c>
      <c r="C7" s="90">
        <f>Assumptions!$C$50</f>
        <v>0.46389999999999998</v>
      </c>
    </row>
    <row r="8" spans="1:6" ht="15" customHeight="1" x14ac:dyDescent="0.3">
      <c r="B8" s="18" t="s">
        <v>367</v>
      </c>
      <c r="C8" s="73">
        <f>C5*C6*C7</f>
        <v>11912.951999999999</v>
      </c>
      <c r="F8" s="81"/>
    </row>
    <row r="9" spans="1:6" ht="15" customHeight="1" x14ac:dyDescent="0.3">
      <c r="B9" s="29" t="s">
        <v>62</v>
      </c>
      <c r="C9" s="90">
        <f>Assumptions!$C$51</f>
        <v>2.41E-2</v>
      </c>
    </row>
    <row r="10" spans="1:6" ht="15" customHeight="1" x14ac:dyDescent="0.3">
      <c r="B10" s="18" t="s">
        <v>368</v>
      </c>
      <c r="C10" s="73">
        <f>C5*Assumptions!$C$51*Assumptions!$C$48</f>
        <v>618.88800000000003</v>
      </c>
    </row>
    <row r="11" spans="1:6" ht="15" customHeight="1" x14ac:dyDescent="0.3">
      <c r="B11" s="29" t="s">
        <v>346</v>
      </c>
      <c r="C11" s="89">
        <f>Assumptions!$C$49</f>
        <v>1639.18</v>
      </c>
    </row>
    <row r="12" spans="1:6" ht="15" customHeight="1" x14ac:dyDescent="0.3">
      <c r="B12" s="29" t="s">
        <v>63</v>
      </c>
      <c r="C12" s="90">
        <f>Assumptions!$C$52</f>
        <v>1.4999999999999999E-2</v>
      </c>
    </row>
    <row r="13" spans="1:6" ht="15" customHeight="1" x14ac:dyDescent="0.3">
      <c r="B13" s="18" t="s">
        <v>369</v>
      </c>
      <c r="C13" s="73">
        <f>C5*C12*C11</f>
        <v>394.63258500000001</v>
      </c>
    </row>
    <row r="15" spans="1:6" ht="15" customHeight="1" x14ac:dyDescent="0.3">
      <c r="B15" s="82" t="s">
        <v>64</v>
      </c>
      <c r="C15" s="73">
        <f>C8+C10+C13</f>
        <v>12926.472585</v>
      </c>
    </row>
    <row r="16" spans="1:6" ht="15" customHeight="1" x14ac:dyDescent="0.3">
      <c r="B16" s="29" t="s">
        <v>65</v>
      </c>
      <c r="C16" s="45">
        <v>129</v>
      </c>
    </row>
    <row r="17" spans="1:5" ht="15" customHeight="1" x14ac:dyDescent="0.3">
      <c r="B17" s="29" t="s">
        <v>227</v>
      </c>
      <c r="C17" s="45">
        <v>28</v>
      </c>
    </row>
    <row r="18" spans="1:5" ht="15" customHeight="1" x14ac:dyDescent="0.3">
      <c r="B18" s="29" t="s">
        <v>66</v>
      </c>
      <c r="C18" s="89">
        <f>C17-C16</f>
        <v>-101</v>
      </c>
      <c r="D18" s="83"/>
    </row>
    <row r="19" spans="1:5" ht="15" customHeight="1" x14ac:dyDescent="0.3">
      <c r="B19" s="18" t="s">
        <v>370</v>
      </c>
      <c r="C19" s="73">
        <f>C15-C16</f>
        <v>12797.472585</v>
      </c>
    </row>
    <row r="20" spans="1:5" ht="15" customHeight="1" x14ac:dyDescent="0.3">
      <c r="B20" s="18" t="s">
        <v>371</v>
      </c>
      <c r="C20" s="73">
        <f>C19+C18</f>
        <v>12696.472585</v>
      </c>
    </row>
    <row r="21" spans="1:5" ht="15" customHeight="1" x14ac:dyDescent="0.3">
      <c r="B21" s="29" t="s">
        <v>229</v>
      </c>
      <c r="C21" s="91">
        <f>C20/Assumptions!$C$18</f>
        <v>18.242058311781609</v>
      </c>
    </row>
    <row r="22" spans="1:5" ht="15" customHeight="1" x14ac:dyDescent="0.3">
      <c r="B22" s="29" t="s">
        <v>230</v>
      </c>
      <c r="C22" s="92">
        <f>(Assumptions!$C$47*Assumptions!$C$48+C17)/Assumptions!$E$18</f>
        <v>23.650413983440661</v>
      </c>
    </row>
    <row r="23" spans="1:5" ht="15" customHeight="1" x14ac:dyDescent="0.3">
      <c r="B23" s="29" t="s">
        <v>231</v>
      </c>
      <c r="C23" s="91">
        <f>(Assumptions!$C$47*Assumptions!$C$48+C17)/Assumptions!$F$18</f>
        <v>20.556112077027688</v>
      </c>
    </row>
    <row r="25" spans="1:5" ht="15" customHeight="1" thickBot="1" x14ac:dyDescent="0.35">
      <c r="A25" s="1" t="s">
        <v>286</v>
      </c>
      <c r="B25" s="271" t="s">
        <v>67</v>
      </c>
      <c r="C25" s="271"/>
      <c r="D25" s="271"/>
      <c r="E25" s="271"/>
    </row>
    <row r="26" spans="1:5" ht="15" customHeight="1" x14ac:dyDescent="0.3">
      <c r="B26" s="84" t="s">
        <v>68</v>
      </c>
      <c r="C26" s="84" t="s">
        <v>69</v>
      </c>
      <c r="D26" s="84" t="s">
        <v>70</v>
      </c>
      <c r="E26" s="84" t="s">
        <v>69</v>
      </c>
    </row>
    <row r="27" spans="1:5" ht="65.400000000000006" customHeight="1" x14ac:dyDescent="0.3">
      <c r="B27" s="29" t="s">
        <v>71</v>
      </c>
      <c r="C27" s="101">
        <f>C8</f>
        <v>11912.951999999999</v>
      </c>
      <c r="D27" s="102" t="s">
        <v>72</v>
      </c>
      <c r="E27" s="103">
        <f>Assumptions!$C$53</f>
        <v>12500</v>
      </c>
    </row>
    <row r="28" spans="1:5" ht="46.2" customHeight="1" x14ac:dyDescent="0.3">
      <c r="B28" s="29" t="s">
        <v>73</v>
      </c>
      <c r="C28" s="104">
        <f>C10</f>
        <v>618.88800000000003</v>
      </c>
      <c r="D28" s="105" t="s">
        <v>74</v>
      </c>
      <c r="E28" s="106">
        <f>Assumptions!C62</f>
        <v>362.10494792499958</v>
      </c>
    </row>
    <row r="29" spans="1:5" ht="48.6" customHeight="1" x14ac:dyDescent="0.3">
      <c r="B29" s="29" t="s">
        <v>75</v>
      </c>
      <c r="C29" s="104">
        <f>C13</f>
        <v>394.63258500000001</v>
      </c>
      <c r="D29" s="105" t="s">
        <v>76</v>
      </c>
      <c r="E29" s="107">
        <v>129</v>
      </c>
    </row>
    <row r="30" spans="1:5" ht="18" customHeight="1" x14ac:dyDescent="0.3">
      <c r="B30" s="29" t="s">
        <v>77</v>
      </c>
      <c r="C30" s="108">
        <f>C15*Assumptions!C60</f>
        <v>64.632362924999995</v>
      </c>
      <c r="D30" s="109" t="s">
        <v>78</v>
      </c>
      <c r="E30" s="110">
        <v>0</v>
      </c>
    </row>
    <row r="31" spans="1:5" ht="24.6" customHeight="1" x14ac:dyDescent="0.3">
      <c r="B31" s="85" t="s">
        <v>79</v>
      </c>
      <c r="C31" s="94">
        <f>SUM(C27:C30)</f>
        <v>12991.104947925</v>
      </c>
      <c r="D31" s="85" t="s">
        <v>80</v>
      </c>
      <c r="E31" s="93">
        <f>E27+E28+E29+E30</f>
        <v>12991.104947925</v>
      </c>
    </row>
    <row r="32" spans="1:5" ht="22.8" customHeight="1" x14ac:dyDescent="0.3">
      <c r="B32" s="86" t="s">
        <v>81</v>
      </c>
      <c r="C32" s="95">
        <f>E31-C31</f>
        <v>0</v>
      </c>
    </row>
    <row r="34" spans="1:3" ht="15" customHeight="1" thickBot="1" x14ac:dyDescent="0.35">
      <c r="A34" s="1" t="s">
        <v>286</v>
      </c>
      <c r="B34" s="271" t="s">
        <v>82</v>
      </c>
      <c r="C34" s="271"/>
    </row>
    <row r="35" spans="1:3" ht="15" customHeight="1" x14ac:dyDescent="0.3">
      <c r="B35" s="18" t="s">
        <v>372</v>
      </c>
      <c r="C35" s="73">
        <f>Assumptions!C47*Assumptions!C48</f>
        <v>25680</v>
      </c>
    </row>
    <row r="36" spans="1:3" ht="15" customHeight="1" x14ac:dyDescent="0.3">
      <c r="B36" s="29" t="s">
        <v>373</v>
      </c>
      <c r="C36" s="89">
        <f>Assumptions!$C$58</f>
        <v>3434</v>
      </c>
    </row>
    <row r="37" spans="1:3" ht="15" customHeight="1" x14ac:dyDescent="0.3">
      <c r="B37" s="29" t="s">
        <v>374</v>
      </c>
      <c r="C37" s="89">
        <f>Assumptions!$C$59</f>
        <v>2500</v>
      </c>
    </row>
    <row r="38" spans="1:3" ht="15" customHeight="1" x14ac:dyDescent="0.3">
      <c r="B38" s="18" t="s">
        <v>83</v>
      </c>
      <c r="C38" s="73">
        <f>C36+C37</f>
        <v>5934</v>
      </c>
    </row>
    <row r="39" spans="1:3" ht="15" customHeight="1" x14ac:dyDescent="0.3">
      <c r="B39" s="18" t="s">
        <v>84</v>
      </c>
      <c r="C39" s="73">
        <f>C35-C38</f>
        <v>19746</v>
      </c>
    </row>
    <row r="40" spans="1:3" ht="15" customHeight="1" x14ac:dyDescent="0.3">
      <c r="B40" s="29" t="s">
        <v>85</v>
      </c>
      <c r="C40" s="96">
        <f>Assumptions!$C$61</f>
        <v>15</v>
      </c>
    </row>
    <row r="41" spans="1:3" ht="15" customHeight="1" x14ac:dyDescent="0.3">
      <c r="B41" s="18" t="s">
        <v>375</v>
      </c>
      <c r="C41" s="73">
        <f>C39/C40</f>
        <v>1316.4</v>
      </c>
    </row>
    <row r="44" spans="1:3" ht="15" customHeight="1" thickBot="1" x14ac:dyDescent="0.35">
      <c r="A44" s="1" t="s">
        <v>286</v>
      </c>
      <c r="B44" s="271" t="s">
        <v>86</v>
      </c>
      <c r="C44" s="271"/>
    </row>
    <row r="45" spans="1:3" ht="15" customHeight="1" x14ac:dyDescent="0.3">
      <c r="B45" s="29" t="s">
        <v>87</v>
      </c>
      <c r="C45" s="97">
        <f>Assumptions!$C$44</f>
        <v>33.840000000000003</v>
      </c>
    </row>
    <row r="46" spans="1:3" ht="15" customHeight="1" x14ac:dyDescent="0.3">
      <c r="B46" s="29" t="s">
        <v>88</v>
      </c>
      <c r="C46" s="97">
        <f>Assumptions!$C$47</f>
        <v>16.05</v>
      </c>
    </row>
    <row r="47" spans="1:3" ht="15" customHeight="1" x14ac:dyDescent="0.3">
      <c r="B47" s="29" t="s">
        <v>89</v>
      </c>
      <c r="C47" s="90">
        <f>Assumptions!$C$50+Assumptions!$C$51+Assumptions!$C$52</f>
        <v>0.503</v>
      </c>
    </row>
    <row r="48" spans="1:3" ht="15" customHeight="1" x14ac:dyDescent="0.3">
      <c r="B48" s="29" t="s">
        <v>90</v>
      </c>
      <c r="C48" s="97">
        <f>Assumptions!$C$47*(1-C47)</f>
        <v>7.9768500000000007</v>
      </c>
    </row>
    <row r="49" spans="2:6" ht="15" customHeight="1" x14ac:dyDescent="0.3">
      <c r="B49" s="29" t="s">
        <v>91</v>
      </c>
      <c r="C49" s="98">
        <f>Assumptions!$C$56</f>
        <v>51</v>
      </c>
      <c r="F49" s="87"/>
    </row>
    <row r="50" spans="2:6" ht="15" customHeight="1" x14ac:dyDescent="0.3">
      <c r="B50" s="29" t="s">
        <v>92</v>
      </c>
      <c r="C50" s="97">
        <f>C48*C49/100</f>
        <v>4.0681935000000005</v>
      </c>
    </row>
    <row r="51" spans="2:6" ht="15" customHeight="1" x14ac:dyDescent="0.3">
      <c r="B51" s="18" t="s">
        <v>93</v>
      </c>
      <c r="C51" s="99">
        <f>C45+C50</f>
        <v>37.908193500000003</v>
      </c>
    </row>
    <row r="52" spans="2:6" ht="15" customHeight="1" x14ac:dyDescent="0.3">
      <c r="B52" s="29" t="s">
        <v>377</v>
      </c>
      <c r="C52" s="89">
        <f>Assumptions!$C$57</f>
        <v>3200</v>
      </c>
    </row>
    <row r="53" spans="2:6" ht="15" customHeight="1" x14ac:dyDescent="0.3">
      <c r="B53" s="18" t="s">
        <v>376</v>
      </c>
      <c r="C53" s="73">
        <f>C50*C52</f>
        <v>13018.219200000001</v>
      </c>
    </row>
    <row r="54" spans="2:6" ht="15" thickBot="1" x14ac:dyDescent="0.35"/>
    <row r="55" spans="2:6" ht="15" customHeight="1" x14ac:dyDescent="0.3">
      <c r="B55" s="82" t="s">
        <v>94</v>
      </c>
      <c r="C55" s="100">
        <f>C15+C53</f>
        <v>25944.691785000003</v>
      </c>
    </row>
  </sheetData>
  <sheetProtection algorithmName="SHA-512" hashValue="myeIXUDO452gutw+Fu3eZ4Wmn9Qfv6f2TAEbkfxsXNf2t40usIB/0RdP+PByhGPTwW15yuRJg3XeMAgX3geGWQ==" saltValue="va/nBe+ZW3QgtVS6nW5oJA==" spinCount="100000" sheet="1" objects="1" scenarios="1"/>
  <mergeCells count="6">
    <mergeCell ref="B44:C44"/>
    <mergeCell ref="B1:E1"/>
    <mergeCell ref="B2:E2"/>
    <mergeCell ref="B4:E4"/>
    <mergeCell ref="B25:E25"/>
    <mergeCell ref="B34:C34"/>
  </mergeCells>
  <pageMargins left="0.75" right="0.75" top="1.37" bottom="1" header="0.511811023622047" footer="0.511811023622047"/>
  <pageSetup paperSize="9" fitToHeight="0" orientation="landscape" r:id="rId1"/>
  <rowBreaks count="2" manualBreakCount="2">
    <brk id="24" max="16383" man="1"/>
    <brk id="32" max="16383"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39"/>
  <sheetViews>
    <sheetView showGridLines="0" zoomScaleNormal="100" workbookViewId="0">
      <pane xSplit="2" ySplit="5" topLeftCell="C6" activePane="bottomRight" state="frozen"/>
      <selection pane="topRight" activeCell="B1" sqref="B1"/>
      <selection pane="bottomLeft" activeCell="A30" sqref="A30"/>
      <selection pane="bottomRight"/>
    </sheetView>
  </sheetViews>
  <sheetFormatPr defaultColWidth="8.6640625" defaultRowHeight="14.4" x14ac:dyDescent="0.3"/>
  <cols>
    <col min="1" max="1" width="2.33203125" style="1" customWidth="1"/>
    <col min="2" max="2" width="57.5546875" style="1" bestFit="1" customWidth="1"/>
    <col min="3" max="3" width="17.6640625" style="1" customWidth="1"/>
    <col min="4" max="8" width="14" style="1" customWidth="1"/>
    <col min="9" max="9" width="40" style="1" customWidth="1"/>
    <col min="10" max="16384" width="8.6640625" style="1"/>
  </cols>
  <sheetData>
    <row r="1" spans="1:10" ht="15" customHeight="1" x14ac:dyDescent="0.3">
      <c r="B1" s="264" t="s">
        <v>126</v>
      </c>
      <c r="C1" s="264"/>
      <c r="D1" s="264"/>
      <c r="E1" s="264"/>
      <c r="F1" s="264"/>
      <c r="G1" s="264"/>
      <c r="H1" s="264"/>
    </row>
    <row r="2" spans="1:10" ht="15" customHeight="1" x14ac:dyDescent="0.3">
      <c r="B2" s="265" t="s">
        <v>127</v>
      </c>
      <c r="C2" s="265"/>
      <c r="D2" s="265"/>
      <c r="E2" s="265"/>
      <c r="F2" s="265"/>
      <c r="G2" s="265"/>
      <c r="H2" s="265"/>
    </row>
    <row r="4" spans="1:10" ht="15" customHeight="1" thickBot="1" x14ac:dyDescent="0.35">
      <c r="A4" s="1" t="s">
        <v>286</v>
      </c>
      <c r="B4" s="272" t="s">
        <v>128</v>
      </c>
      <c r="C4" s="272"/>
      <c r="D4" s="272"/>
      <c r="E4" s="272"/>
      <c r="F4" s="272"/>
      <c r="G4" s="272"/>
      <c r="H4" s="272"/>
    </row>
    <row r="5" spans="1:10" ht="15" customHeight="1" x14ac:dyDescent="0.3">
      <c r="C5" s="111" t="s">
        <v>5</v>
      </c>
      <c r="D5" s="111" t="s">
        <v>6</v>
      </c>
      <c r="E5" s="111" t="s">
        <v>7</v>
      </c>
      <c r="F5" s="111" t="s">
        <v>8</v>
      </c>
      <c r="G5" s="111" t="s">
        <v>9</v>
      </c>
      <c r="H5" s="111" t="s">
        <v>129</v>
      </c>
    </row>
    <row r="6" spans="1:10" ht="15" customHeight="1" x14ac:dyDescent="0.3">
      <c r="B6" s="29" t="s">
        <v>352</v>
      </c>
      <c r="C6" s="35">
        <f>Assumptions!F36</f>
        <v>13036.112000000001</v>
      </c>
      <c r="D6" s="35">
        <f>Assumptions!G36</f>
        <v>14600.445440000003</v>
      </c>
      <c r="E6" s="35">
        <f>Assumptions!H36</f>
        <v>16352.498892800006</v>
      </c>
      <c r="F6" s="35">
        <f>Assumptions!I36</f>
        <v>18151.273771008007</v>
      </c>
      <c r="G6" s="35">
        <f>Assumptions!J36</f>
        <v>19694.132041543686</v>
      </c>
    </row>
    <row r="7" spans="1:10" ht="15" customHeight="1" x14ac:dyDescent="0.3">
      <c r="B7" s="29" t="s">
        <v>353</v>
      </c>
      <c r="C7" s="35">
        <f>Assumptions!F16</f>
        <v>4388.1600000000008</v>
      </c>
      <c r="D7" s="35">
        <f>Assumptions!G16</f>
        <v>4958.6208000000006</v>
      </c>
      <c r="E7" s="35">
        <f>Assumptions!H16</f>
        <v>5603.2415040000005</v>
      </c>
      <c r="F7" s="35">
        <f>Assumptions!I16</f>
        <v>6219.5980694400014</v>
      </c>
      <c r="G7" s="35">
        <f>Assumptions!J16</f>
        <v>6841.5578763840022</v>
      </c>
    </row>
    <row r="8" spans="1:10" ht="15" customHeight="1" x14ac:dyDescent="0.3">
      <c r="B8" s="29" t="s">
        <v>354</v>
      </c>
      <c r="C8" s="112">
        <v>0</v>
      </c>
      <c r="D8" s="35">
        <f>Synergies!C19</f>
        <v>0</v>
      </c>
      <c r="E8" s="35">
        <f>Synergies!D19</f>
        <v>75</v>
      </c>
      <c r="F8" s="35">
        <f>Synergies!E19</f>
        <v>155</v>
      </c>
      <c r="G8" s="35">
        <f>Synergies!F19</f>
        <v>205</v>
      </c>
    </row>
    <row r="9" spans="1:10" ht="15" customHeight="1" x14ac:dyDescent="0.3">
      <c r="B9" s="18" t="s">
        <v>355</v>
      </c>
      <c r="C9" s="119">
        <f>C6+C7+C8</f>
        <v>17424.272000000001</v>
      </c>
      <c r="D9" s="119">
        <f>D6+D7+D8</f>
        <v>19559.066240000004</v>
      </c>
      <c r="E9" s="119">
        <f>E6+E7+E8</f>
        <v>22030.740396800007</v>
      </c>
      <c r="F9" s="119">
        <f>F6+F7+F8</f>
        <v>24525.87184044801</v>
      </c>
      <c r="G9" s="119">
        <f>G6+G7+G8</f>
        <v>26740.689917927688</v>
      </c>
      <c r="H9" s="120">
        <f>_xlfn.RRI(4,C9,G9)</f>
        <v>0.113023903716996</v>
      </c>
      <c r="J9" s="87"/>
    </row>
    <row r="10" spans="1:10" ht="15" customHeight="1" x14ac:dyDescent="0.3">
      <c r="B10" s="24" t="s">
        <v>36</v>
      </c>
      <c r="C10" s="113" t="s">
        <v>12</v>
      </c>
      <c r="D10" s="120">
        <f>D9/C9-1</f>
        <v>0.12251841798612895</v>
      </c>
      <c r="E10" s="120">
        <f>E9/D9-1</f>
        <v>0.12636974211709617</v>
      </c>
      <c r="F10" s="120">
        <f>F9/E9-1</f>
        <v>0.11325681292174927</v>
      </c>
      <c r="G10" s="120">
        <f>G9/F9-1</f>
        <v>9.0305375967389967E-2</v>
      </c>
    </row>
    <row r="12" spans="1:10" ht="15" customHeight="1" x14ac:dyDescent="0.3">
      <c r="B12" s="29" t="s">
        <v>356</v>
      </c>
      <c r="C12" s="35">
        <f>Assumptions!F37</f>
        <v>4288.8808480000007</v>
      </c>
      <c r="D12" s="35">
        <f>Assumptions!G37</f>
        <v>4861.9483315200014</v>
      </c>
      <c r="E12" s="35">
        <f>Assumptions!H37</f>
        <v>5478.0871290880023</v>
      </c>
      <c r="F12" s="35">
        <f>Assumptions!I37</f>
        <v>6116.9792608296984</v>
      </c>
      <c r="G12" s="35">
        <f>Assumptions!J37</f>
        <v>6656.6166300417663</v>
      </c>
    </row>
    <row r="13" spans="1:10" ht="15" customHeight="1" x14ac:dyDescent="0.3">
      <c r="B13" s="29" t="s">
        <v>357</v>
      </c>
      <c r="C13" s="35">
        <f>Assumptions!F18</f>
        <v>1250.6256000000001</v>
      </c>
      <c r="D13" s="35">
        <f>Assumptions!G18</f>
        <v>1438.0000320000001</v>
      </c>
      <c r="E13" s="35">
        <f>Assumptions!H18</f>
        <v>1652.9562436800002</v>
      </c>
      <c r="F13" s="35">
        <f>Assumptions!I18</f>
        <v>1853.4402246931204</v>
      </c>
      <c r="G13" s="35">
        <f>Assumptions!J18</f>
        <v>2052.4673629152007</v>
      </c>
    </row>
    <row r="14" spans="1:10" ht="15" customHeight="1" x14ac:dyDescent="0.3">
      <c r="B14" s="29" t="s">
        <v>358</v>
      </c>
      <c r="C14" s="112">
        <v>0</v>
      </c>
      <c r="D14" s="35">
        <f>Synergies!C11</f>
        <v>85</v>
      </c>
      <c r="E14" s="35">
        <f>Synergies!D11</f>
        <v>160</v>
      </c>
      <c r="F14" s="35">
        <f>Synergies!E11</f>
        <v>245</v>
      </c>
      <c r="G14" s="35">
        <f>Synergies!F11</f>
        <v>277</v>
      </c>
    </row>
    <row r="15" spans="1:10" ht="15" customHeight="1" x14ac:dyDescent="0.3">
      <c r="B15" s="29" t="s">
        <v>359</v>
      </c>
      <c r="C15" s="114">
        <v>0</v>
      </c>
      <c r="D15" s="35">
        <f>-Synergies!C26</f>
        <v>-150</v>
      </c>
      <c r="E15" s="35">
        <f>-Synergies!D26</f>
        <v>-80</v>
      </c>
      <c r="F15" s="35">
        <f>-Synergies!E26</f>
        <v>-20</v>
      </c>
      <c r="G15" s="35">
        <f>-Synergies!F26</f>
        <v>0</v>
      </c>
    </row>
    <row r="16" spans="1:10" ht="15" customHeight="1" x14ac:dyDescent="0.3">
      <c r="B16" s="18" t="s">
        <v>360</v>
      </c>
      <c r="C16" s="119">
        <f>C12+C13+C14+C15</f>
        <v>5539.506448000001</v>
      </c>
      <c r="D16" s="119">
        <f>D12+D13+D14+D15</f>
        <v>6234.9483635200013</v>
      </c>
      <c r="E16" s="119">
        <f>E12+E13+E14+E15</f>
        <v>7211.0433727680029</v>
      </c>
      <c r="F16" s="119">
        <f>F12+F13+F14+F15</f>
        <v>8195.4194855228197</v>
      </c>
      <c r="G16" s="119">
        <f>G12+G13+G14+G15</f>
        <v>8986.0839929569665</v>
      </c>
      <c r="H16" s="120">
        <f>_xlfn.RRI(4,C16,G16)</f>
        <v>0.12856051196477303</v>
      </c>
    </row>
    <row r="17" spans="1:8" ht="15" customHeight="1" x14ac:dyDescent="0.3">
      <c r="B17" s="24" t="s">
        <v>40</v>
      </c>
      <c r="C17" s="120">
        <f>C16/C9</f>
        <v>0.31791896086103344</v>
      </c>
      <c r="D17" s="120">
        <f>D16/D9</f>
        <v>0.31877535905926763</v>
      </c>
      <c r="E17" s="120">
        <f>E16/E9</f>
        <v>0.327317341264455</v>
      </c>
      <c r="F17" s="120">
        <f>F16/F9</f>
        <v>0.33415405327230624</v>
      </c>
      <c r="G17" s="120">
        <f>G16/G9</f>
        <v>0.3360453309371218</v>
      </c>
    </row>
    <row r="19" spans="1:8" ht="15" customHeight="1" x14ac:dyDescent="0.3">
      <c r="B19" s="29" t="s">
        <v>130</v>
      </c>
      <c r="C19" s="35">
        <f>Assumptions!F38+Assumptions!F19</f>
        <v>1075.1464960000001</v>
      </c>
      <c r="D19" s="35">
        <f>Assumptions!G38+Assumptions!G19</f>
        <v>1186.4919180800002</v>
      </c>
      <c r="E19" s="35">
        <f>Assumptions!H38+Assumptions!H19</f>
        <v>1308.9978285888005</v>
      </c>
      <c r="F19" s="35">
        <f>Assumptions!I38+Assumptions!I19</f>
        <v>1434.8363159625605</v>
      </c>
      <c r="G19" s="35">
        <f>Assumptions!J38+Assumptions!J19</f>
        <v>1534.0867657141559</v>
      </c>
    </row>
    <row r="20" spans="1:8" ht="15" customHeight="1" x14ac:dyDescent="0.3">
      <c r="B20" s="29" t="s">
        <v>361</v>
      </c>
      <c r="C20" s="35">
        <f>'Deal Mechanics'!$C$41</f>
        <v>1316.4</v>
      </c>
      <c r="D20" s="35">
        <f>'Deal Mechanics'!$C$41</f>
        <v>1316.4</v>
      </c>
      <c r="E20" s="35">
        <f>'Deal Mechanics'!$C$41</f>
        <v>1316.4</v>
      </c>
      <c r="F20" s="35">
        <f>'Deal Mechanics'!$C$41</f>
        <v>1316.4</v>
      </c>
      <c r="G20" s="35">
        <f>'Deal Mechanics'!$C$41</f>
        <v>1316.4</v>
      </c>
    </row>
    <row r="21" spans="1:8" ht="15" customHeight="1" x14ac:dyDescent="0.3">
      <c r="B21" s="18" t="s">
        <v>131</v>
      </c>
      <c r="C21" s="35">
        <f>C19+C20</f>
        <v>2391.5464959999999</v>
      </c>
      <c r="D21" s="35">
        <f>D19+D20</f>
        <v>2502.8919180800003</v>
      </c>
      <c r="E21" s="35">
        <f>E19+E20</f>
        <v>2625.3978285888006</v>
      </c>
      <c r="F21" s="35">
        <f>F19+F20</f>
        <v>2751.2363159625606</v>
      </c>
      <c r="G21" s="35">
        <f>G19+G20</f>
        <v>2850.4867657141558</v>
      </c>
    </row>
    <row r="22" spans="1:8" ht="15" customHeight="1" x14ac:dyDescent="0.3">
      <c r="B22" s="18" t="s">
        <v>362</v>
      </c>
      <c r="C22" s="119">
        <f>C16-C21</f>
        <v>3147.9599520000011</v>
      </c>
      <c r="D22" s="119">
        <f>D16-D21</f>
        <v>3732.056445440001</v>
      </c>
      <c r="E22" s="119">
        <f>E16-E21</f>
        <v>4585.6455441792023</v>
      </c>
      <c r="F22" s="119">
        <f>F16-F21</f>
        <v>5444.1831695602596</v>
      </c>
      <c r="G22" s="119">
        <f>G16-G21</f>
        <v>6135.5972272428107</v>
      </c>
    </row>
    <row r="23" spans="1:8" ht="15" customHeight="1" x14ac:dyDescent="0.3">
      <c r="B23" s="29" t="s">
        <v>363</v>
      </c>
      <c r="C23" s="35">
        <f>Assumptions!F31</f>
        <v>1050</v>
      </c>
      <c r="D23" s="35">
        <f>Assumptions!G31</f>
        <v>980</v>
      </c>
      <c r="E23" s="35">
        <f>Assumptions!H31</f>
        <v>850</v>
      </c>
      <c r="F23" s="35">
        <f>Assumptions!I31</f>
        <v>650</v>
      </c>
      <c r="G23" s="35">
        <f>Assumptions!J31</f>
        <v>450</v>
      </c>
    </row>
    <row r="24" spans="1:8" ht="15" customHeight="1" x14ac:dyDescent="0.3">
      <c r="B24" s="29" t="s">
        <v>364</v>
      </c>
      <c r="C24" s="35">
        <f>'Standalone Torrent'!F13</f>
        <v>50</v>
      </c>
      <c r="D24" s="35">
        <f>'Standalone Torrent'!G13</f>
        <v>60</v>
      </c>
      <c r="E24" s="35">
        <f>'Standalone Torrent'!H13</f>
        <v>65</v>
      </c>
      <c r="F24" s="35">
        <f>'Standalone Torrent'!I13</f>
        <v>70</v>
      </c>
      <c r="G24" s="35">
        <f>'Standalone Torrent'!J13</f>
        <v>75</v>
      </c>
    </row>
    <row r="25" spans="1:8" ht="15" customHeight="1" x14ac:dyDescent="0.3">
      <c r="B25" s="18" t="s">
        <v>365</v>
      </c>
      <c r="C25" s="119">
        <f>C22-C23+C24</f>
        <v>2147.9599520000011</v>
      </c>
      <c r="D25" s="119">
        <f>D22-D23+D24</f>
        <v>2812.056445440001</v>
      </c>
      <c r="E25" s="119">
        <f>E22-E23+E24</f>
        <v>3800.6455441792023</v>
      </c>
      <c r="F25" s="119">
        <f>F22-F23+F24</f>
        <v>4864.1831695602596</v>
      </c>
      <c r="G25" s="119">
        <f>G22-G23+G24</f>
        <v>5760.5972272428107</v>
      </c>
    </row>
    <row r="26" spans="1:8" ht="15" customHeight="1" x14ac:dyDescent="0.3">
      <c r="B26" s="29" t="s">
        <v>132</v>
      </c>
      <c r="C26" s="35">
        <f>MAX(0,C25*Assumptions!F32)</f>
        <v>579.94918704000031</v>
      </c>
      <c r="D26" s="35">
        <f>MAX(0,D25*Assumptions!G32)</f>
        <v>759.25524026880032</v>
      </c>
      <c r="E26" s="35">
        <f>MAX(0,E25*Assumptions!H32)</f>
        <v>1026.1742969283846</v>
      </c>
      <c r="F26" s="35">
        <f>MAX(0,F25*Assumptions!I32)</f>
        <v>1313.3294557812701</v>
      </c>
      <c r="G26" s="35">
        <f>MAX(0,G25*Assumptions!J32)</f>
        <v>1555.361251355559</v>
      </c>
    </row>
    <row r="27" spans="1:8" ht="15" customHeight="1" x14ac:dyDescent="0.3">
      <c r="B27" s="18" t="s">
        <v>366</v>
      </c>
      <c r="C27" s="119">
        <f>C25-C26</f>
        <v>1568.0107649600009</v>
      </c>
      <c r="D27" s="119">
        <f>D25-D26</f>
        <v>2052.8012051712008</v>
      </c>
      <c r="E27" s="119">
        <f>E25-E26</f>
        <v>2774.4712472508177</v>
      </c>
      <c r="F27" s="119">
        <f>F25-F26</f>
        <v>3550.8537137789895</v>
      </c>
      <c r="G27" s="119">
        <f>G25-G26</f>
        <v>4205.2359758872517</v>
      </c>
      <c r="H27" s="120">
        <f>_xlfn.RRI(4,C27,G27)</f>
        <v>0.27970637312018987</v>
      </c>
    </row>
    <row r="28" spans="1:8" ht="15" customHeight="1" x14ac:dyDescent="0.3">
      <c r="B28" s="24" t="s">
        <v>48</v>
      </c>
      <c r="C28" s="120">
        <f>C27/C9</f>
        <v>8.9990030284192113E-2</v>
      </c>
      <c r="D28" s="120">
        <f>D27/D9</f>
        <v>0.10495394718655038</v>
      </c>
      <c r="E28" s="120">
        <f>E27/E9</f>
        <v>0.12593635970826533</v>
      </c>
      <c r="F28" s="120">
        <f>F27/F9</f>
        <v>0.1447799179934933</v>
      </c>
      <c r="G28" s="120">
        <f>G27/G9</f>
        <v>0.15725981598806643</v>
      </c>
    </row>
    <row r="29" spans="1:8" x14ac:dyDescent="0.3">
      <c r="C29" s="115"/>
      <c r="D29" s="115"/>
      <c r="E29" s="115"/>
      <c r="F29" s="115"/>
      <c r="G29" s="115"/>
    </row>
    <row r="31" spans="1:8" x14ac:dyDescent="0.3">
      <c r="A31" s="1" t="s">
        <v>286</v>
      </c>
      <c r="B31" s="116" t="s">
        <v>272</v>
      </c>
      <c r="C31" s="117"/>
    </row>
    <row r="32" spans="1:8" x14ac:dyDescent="0.3">
      <c r="B32" s="18" t="s">
        <v>1</v>
      </c>
      <c r="C32" s="18"/>
    </row>
    <row r="33" spans="2:3" x14ac:dyDescent="0.3">
      <c r="B33" s="1" t="s">
        <v>273</v>
      </c>
      <c r="C33" s="38">
        <f>'Summary FootballField'!H11</f>
        <v>2245.54</v>
      </c>
    </row>
    <row r="34" spans="2:3" x14ac:dyDescent="0.3">
      <c r="B34" s="1" t="s">
        <v>274</v>
      </c>
      <c r="C34" s="38">
        <f>'Summary FootballField'!I11</f>
        <v>-143.39000000000001</v>
      </c>
    </row>
    <row r="35" spans="2:3" x14ac:dyDescent="0.3">
      <c r="B35" s="1" t="s">
        <v>275</v>
      </c>
      <c r="C35" s="38">
        <f>Assumptions!C53</f>
        <v>12500</v>
      </c>
    </row>
    <row r="36" spans="2:3" x14ac:dyDescent="0.3">
      <c r="B36" s="1" t="s">
        <v>276</v>
      </c>
      <c r="C36" s="38">
        <f>'Deal Mechanics'!E28</f>
        <v>362.10494792499958</v>
      </c>
    </row>
    <row r="37" spans="2:3" x14ac:dyDescent="0.3">
      <c r="B37" s="118" t="s">
        <v>277</v>
      </c>
      <c r="C37" s="121">
        <f>SUM(C33:C36)</f>
        <v>14964.254947924999</v>
      </c>
    </row>
    <row r="38" spans="2:3" x14ac:dyDescent="0.3">
      <c r="B38" s="1" t="s">
        <v>279</v>
      </c>
      <c r="C38" s="38">
        <f>'Summary FootballField'!J7</f>
        <v>4808</v>
      </c>
    </row>
    <row r="39" spans="2:3" x14ac:dyDescent="0.3">
      <c r="B39" s="118" t="s">
        <v>278</v>
      </c>
      <c r="C39" s="122">
        <f>C37/C38</f>
        <v>3.1123658377547834</v>
      </c>
    </row>
  </sheetData>
  <sheetProtection algorithmName="SHA-512" hashValue="U1JkGRKdog+yYzcDLajhR7w1nOtc1fVncjtONowxHDR0hgB9D8NErE9MhKDiLW8YDY1j3QeEAikFaHObvOCFTg==" saltValue="ygefPt0lR81HXUKXgC/LwA==" spinCount="100000" sheet="1" objects="1" scenarios="1"/>
  <mergeCells count="3">
    <mergeCell ref="B4:H4"/>
    <mergeCell ref="B1:H1"/>
    <mergeCell ref="B2:H2"/>
  </mergeCells>
  <pageMargins left="0.75" right="0.75" top="1.29" bottom="1" header="0.511811023622047" footer="0.511811023622047"/>
  <pageSetup paperSize="9" scale="88" fitToHeight="0" orientation="landscape" r:id="rId1"/>
  <rowBreaks count="1" manualBreakCount="1">
    <brk id="29"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6"/>
  <sheetViews>
    <sheetView showGridLines="0" zoomScale="121" zoomScaleNormal="121" zoomScaleSheetLayoutView="111" workbookViewId="0">
      <selection activeCell="D13" sqref="D13"/>
    </sheetView>
  </sheetViews>
  <sheetFormatPr defaultColWidth="8.6640625" defaultRowHeight="14.4" x14ac:dyDescent="0.3"/>
  <cols>
    <col min="1" max="1" width="2.33203125" style="1" customWidth="1"/>
    <col min="2" max="2" width="42" style="1" customWidth="1"/>
    <col min="3" max="8" width="14" style="1" customWidth="1"/>
    <col min="9" max="9" width="45" style="1" customWidth="1"/>
    <col min="10" max="16384" width="8.6640625" style="1"/>
  </cols>
  <sheetData>
    <row r="1" spans="1:7" ht="15.75" customHeight="1" x14ac:dyDescent="0.3">
      <c r="B1" s="261" t="s">
        <v>117</v>
      </c>
      <c r="C1" s="261"/>
      <c r="D1" s="261"/>
      <c r="E1" s="261"/>
      <c r="F1" s="261"/>
      <c r="G1" s="261"/>
    </row>
    <row r="2" spans="1:7" ht="15" customHeight="1" x14ac:dyDescent="0.3">
      <c r="B2" s="265" t="s">
        <v>118</v>
      </c>
      <c r="C2" s="265"/>
      <c r="D2" s="265"/>
      <c r="E2" s="265"/>
      <c r="F2" s="265"/>
      <c r="G2" s="265"/>
    </row>
    <row r="4" spans="1:7" ht="15" customHeight="1" thickBot="1" x14ac:dyDescent="0.35">
      <c r="A4" s="1" t="s">
        <v>286</v>
      </c>
      <c r="B4" s="272" t="s">
        <v>119</v>
      </c>
      <c r="C4" s="272"/>
      <c r="D4" s="272"/>
      <c r="E4" s="272"/>
      <c r="F4" s="272"/>
      <c r="G4" s="272"/>
    </row>
    <row r="5" spans="1:7" ht="15" customHeight="1" x14ac:dyDescent="0.3">
      <c r="C5" s="111" t="s">
        <v>5</v>
      </c>
      <c r="D5" s="111" t="s">
        <v>6</v>
      </c>
      <c r="E5" s="111" t="s">
        <v>7</v>
      </c>
      <c r="F5" s="111" t="s">
        <v>8</v>
      </c>
      <c r="G5" s="111" t="s">
        <v>9</v>
      </c>
    </row>
    <row r="6" spans="1:7" x14ac:dyDescent="0.3">
      <c r="B6" s="23" t="s">
        <v>378</v>
      </c>
      <c r="C6" s="35">
        <f>'Standalone Torrent'!F11*(1-Assumptions!F32)</f>
        <v>2483.7704193600002</v>
      </c>
      <c r="D6" s="35">
        <f>'Standalone Torrent'!G11*(1-Assumptions!G32)</f>
        <v>2835.1144955392006</v>
      </c>
      <c r="E6" s="35">
        <f>'Standalone Torrent'!H11*(1-Assumptions!H32)</f>
        <v>3211.140207579137</v>
      </c>
      <c r="F6" s="35">
        <f>'Standalone Torrent'!I11*(1-Assumptions!I32)</f>
        <v>3604.1169199713495</v>
      </c>
      <c r="G6" s="35">
        <f>'Standalone Torrent'!J11*(1-Assumptions!J32)</f>
        <v>3939.2202909495686</v>
      </c>
    </row>
    <row r="7" spans="1:7" x14ac:dyDescent="0.3">
      <c r="B7" s="23" t="s">
        <v>379</v>
      </c>
      <c r="C7" s="35">
        <f>'Standalone JBChem'!F18</f>
        <v>796.85956223999995</v>
      </c>
      <c r="D7" s="35">
        <f>'Standalone JBChem'!G18</f>
        <v>922.85356513279999</v>
      </c>
      <c r="E7" s="35">
        <f>'Standalone JBChem'!H18</f>
        <v>1067.1617197758719</v>
      </c>
      <c r="F7" s="35">
        <f>'Standalone JBChem'!I18</f>
        <v>1197.1700342537915</v>
      </c>
      <c r="G7" s="35">
        <f>'Standalone JBChem'!J18</f>
        <v>1331.0033455120017</v>
      </c>
    </row>
    <row r="8" spans="1:7" ht="15" customHeight="1" x14ac:dyDescent="0.3">
      <c r="B8" s="29" t="s">
        <v>380</v>
      </c>
      <c r="C8" s="114">
        <v>0</v>
      </c>
      <c r="D8" s="35">
        <f>Synergies!C11*(1-Assumptions!G32)</f>
        <v>62.05</v>
      </c>
      <c r="E8" s="35">
        <f>Synergies!D11*(1-Assumptions!H32)</f>
        <v>116.8</v>
      </c>
      <c r="F8" s="35">
        <f>Synergies!E11*(1-Assumptions!I32)</f>
        <v>178.85</v>
      </c>
      <c r="G8" s="35">
        <f>Synergies!F11*(1-Assumptions!J32)</f>
        <v>202.21</v>
      </c>
    </row>
    <row r="9" spans="1:7" ht="15" customHeight="1" x14ac:dyDescent="0.3">
      <c r="B9" s="29" t="s">
        <v>381</v>
      </c>
      <c r="C9" s="114">
        <v>0</v>
      </c>
      <c r="D9" s="35">
        <f>Synergies!C19*(1-Assumptions!G32)</f>
        <v>0</v>
      </c>
      <c r="E9" s="35">
        <f>Synergies!D19*(1-Assumptions!H32)</f>
        <v>54.75</v>
      </c>
      <c r="F9" s="35">
        <f>Synergies!E19*(1-Assumptions!I32)</f>
        <v>113.14999999999999</v>
      </c>
      <c r="G9" s="35">
        <f>Synergies!F19*(1-Assumptions!J32)</f>
        <v>149.65</v>
      </c>
    </row>
    <row r="10" spans="1:7" ht="15" customHeight="1" x14ac:dyDescent="0.3">
      <c r="B10" s="29" t="s">
        <v>382</v>
      </c>
      <c r="C10" s="114">
        <v>0</v>
      </c>
      <c r="D10" s="35">
        <f>-Synergies!C26*(1-Assumptions!G32)</f>
        <v>-109.5</v>
      </c>
      <c r="E10" s="35">
        <f>-Synergies!D26*(1-Assumptions!H32)</f>
        <v>-58.4</v>
      </c>
      <c r="F10" s="35">
        <f>-Synergies!E26*(1-Assumptions!I32)</f>
        <v>-14.6</v>
      </c>
      <c r="G10" s="35">
        <f>-Synergies!F26*(1-Assumptions!J32)</f>
        <v>0</v>
      </c>
    </row>
    <row r="11" spans="1:7" x14ac:dyDescent="0.3">
      <c r="B11" s="29" t="s">
        <v>383</v>
      </c>
      <c r="C11" s="35">
        <f>-Assumptions!F31*(1-Assumptions!F32)</f>
        <v>-766.5</v>
      </c>
      <c r="D11" s="35">
        <f>-Assumptions!G31*(1-Assumptions!G32)</f>
        <v>-715.4</v>
      </c>
      <c r="E11" s="35">
        <f>-Assumptions!H31*(1-Assumptions!H32)</f>
        <v>-620.5</v>
      </c>
      <c r="F11" s="35">
        <f>-Assumptions!I31*(1-Assumptions!I32)</f>
        <v>-474.5</v>
      </c>
      <c r="G11" s="35">
        <f>-Assumptions!J31*(1-Assumptions!J32)</f>
        <v>-328.5</v>
      </c>
    </row>
    <row r="12" spans="1:7" x14ac:dyDescent="0.3">
      <c r="B12" s="29" t="s">
        <v>384</v>
      </c>
      <c r="C12" s="35">
        <f>-'Deal Mechanics'!$C$41*(1-Assumptions!F32)</f>
        <v>-960.97200000000009</v>
      </c>
      <c r="D12" s="35">
        <f>-'Deal Mechanics'!$C$41*(1-Assumptions!G32)</f>
        <v>-960.97200000000009</v>
      </c>
      <c r="E12" s="35">
        <f>-'Deal Mechanics'!$C$41*(1-Assumptions!H32)</f>
        <v>-960.97200000000009</v>
      </c>
      <c r="F12" s="35">
        <f>-'Deal Mechanics'!$C$41*(1-Assumptions!I32)</f>
        <v>-960.97200000000009</v>
      </c>
      <c r="G12" s="35">
        <f>-'Deal Mechanics'!$C$41*(1-Assumptions!J32)</f>
        <v>-960.97200000000009</v>
      </c>
    </row>
    <row r="13" spans="1:7" ht="15" customHeight="1" x14ac:dyDescent="0.3">
      <c r="B13" s="18" t="s">
        <v>120</v>
      </c>
      <c r="C13" s="119">
        <f>C6+C7+C8+C9+C10+C11+C12</f>
        <v>1553.1579815999999</v>
      </c>
      <c r="D13" s="119">
        <f>D6+D7+D8+D9+D10+D11+D12</f>
        <v>2034.1460606720002</v>
      </c>
      <c r="E13" s="119">
        <f>E6+E7+E8+E9+E10+E11+E12</f>
        <v>2809.9799273550093</v>
      </c>
      <c r="F13" s="119">
        <f>F6+F7+F8+F9+F10+F11+F12</f>
        <v>3643.2149542251404</v>
      </c>
      <c r="G13" s="119">
        <f>G6+G7+G8+G9+G10+G11+G12</f>
        <v>4332.61163646157</v>
      </c>
    </row>
    <row r="15" spans="1:7" ht="15" customHeight="1" x14ac:dyDescent="0.3">
      <c r="B15" s="29" t="s">
        <v>121</v>
      </c>
      <c r="C15" s="35">
        <f>Assumptions!$C$44</f>
        <v>33.840000000000003</v>
      </c>
      <c r="D15" s="35">
        <f>Assumptions!$C$44</f>
        <v>33.840000000000003</v>
      </c>
      <c r="E15" s="35">
        <f>Assumptions!$C$44</f>
        <v>33.840000000000003</v>
      </c>
      <c r="F15" s="35">
        <f>Assumptions!$C$44</f>
        <v>33.840000000000003</v>
      </c>
      <c r="G15" s="35">
        <f>Assumptions!$C$44</f>
        <v>33.840000000000003</v>
      </c>
    </row>
    <row r="16" spans="1:7" x14ac:dyDescent="0.3">
      <c r="B16" s="29" t="s">
        <v>122</v>
      </c>
      <c r="C16" s="35">
        <f>'Deal Mechanics'!$C$50</f>
        <v>4.0681935000000005</v>
      </c>
      <c r="D16" s="35">
        <f>'Deal Mechanics'!$C$50</f>
        <v>4.0681935000000005</v>
      </c>
      <c r="E16" s="35">
        <f>'Deal Mechanics'!$C$50</f>
        <v>4.0681935000000005</v>
      </c>
      <c r="F16" s="35">
        <f>'Deal Mechanics'!$C$50</f>
        <v>4.0681935000000005</v>
      </c>
      <c r="G16" s="35">
        <f>'Deal Mechanics'!$C$50</f>
        <v>4.0681935000000005</v>
      </c>
    </row>
    <row r="17" spans="2:7" ht="15" customHeight="1" x14ac:dyDescent="0.3">
      <c r="B17" s="18" t="s">
        <v>123</v>
      </c>
      <c r="C17" s="119">
        <f>C15+C16</f>
        <v>37.908193500000003</v>
      </c>
      <c r="D17" s="119">
        <f>D15+D16</f>
        <v>37.908193500000003</v>
      </c>
      <c r="E17" s="119">
        <f>E15+E16</f>
        <v>37.908193500000003</v>
      </c>
      <c r="F17" s="119">
        <f>F15+F16</f>
        <v>37.908193500000003</v>
      </c>
      <c r="G17" s="119">
        <f>G15+G16</f>
        <v>37.908193500000003</v>
      </c>
    </row>
    <row r="18" spans="2:7" x14ac:dyDescent="0.3">
      <c r="C18" s="70"/>
      <c r="D18" s="70"/>
      <c r="E18" s="70"/>
      <c r="F18" s="70"/>
      <c r="G18" s="70"/>
    </row>
    <row r="19" spans="2:7" ht="15" customHeight="1" x14ac:dyDescent="0.3">
      <c r="B19" s="18" t="s">
        <v>232</v>
      </c>
      <c r="C19" s="119">
        <f>Assumptions!F43/Assumptions!F44</f>
        <v>50.746761801418444</v>
      </c>
      <c r="D19" s="119">
        <f>Assumptions!G43/Assumptions!G44</f>
        <v>62.639317244066213</v>
      </c>
      <c r="E19" s="119">
        <f>Assumptions!H43/Assumptions!H44</f>
        <v>76.555561689690819</v>
      </c>
      <c r="F19" s="119">
        <f>Assumptions!I43/Assumptions!I44</f>
        <v>92.482769502699441</v>
      </c>
      <c r="G19" s="119">
        <f>Assumptions!J43/Assumptions!J44</f>
        <v>106.6997721911811</v>
      </c>
    </row>
    <row r="20" spans="2:7" ht="15" customHeight="1" x14ac:dyDescent="0.3">
      <c r="B20" s="18" t="s">
        <v>124</v>
      </c>
      <c r="C20" s="119">
        <f>C13/C17</f>
        <v>40.971564144833224</v>
      </c>
      <c r="D20" s="119">
        <f>D13/D17</f>
        <v>53.659799448686471</v>
      </c>
      <c r="E20" s="119">
        <f>E13/E17</f>
        <v>74.125925503546057</v>
      </c>
      <c r="F20" s="119">
        <f>F13/F17</f>
        <v>96.106266689420067</v>
      </c>
      <c r="G20" s="119">
        <f>G13/G17</f>
        <v>114.29222119122004</v>
      </c>
    </row>
    <row r="21" spans="2:7" x14ac:dyDescent="0.3">
      <c r="C21" s="70"/>
      <c r="D21" s="70"/>
      <c r="E21" s="70"/>
      <c r="F21" s="70"/>
      <c r="G21" s="70"/>
    </row>
    <row r="22" spans="2:7" ht="15" customHeight="1" x14ac:dyDescent="0.3">
      <c r="B22" s="18" t="s">
        <v>125</v>
      </c>
      <c r="C22" s="119">
        <f>C20-C19</f>
        <v>-9.7751976565852203</v>
      </c>
      <c r="D22" s="119">
        <f>D20-D19</f>
        <v>-8.979517795379742</v>
      </c>
      <c r="E22" s="119">
        <f>E20-E19</f>
        <v>-2.4296361861447622</v>
      </c>
      <c r="F22" s="119">
        <f>F20-F19</f>
        <v>3.6234971867206269</v>
      </c>
      <c r="G22" s="119">
        <f>G20-G19</f>
        <v>7.5924490000389397</v>
      </c>
    </row>
    <row r="23" spans="2:7" ht="15" customHeight="1" x14ac:dyDescent="0.3">
      <c r="B23" s="82" t="s">
        <v>303</v>
      </c>
      <c r="C23" s="123">
        <f>C22/C19</f>
        <v>-0.19262702307661314</v>
      </c>
      <c r="D23" s="123">
        <f>D22/D19</f>
        <v>-0.14335274058611114</v>
      </c>
      <c r="E23" s="123">
        <f>E22/E19</f>
        <v>-3.1736899743391778E-2</v>
      </c>
      <c r="F23" s="123">
        <f>F22/F19</f>
        <v>3.9180240883842282E-2</v>
      </c>
      <c r="G23" s="123">
        <f>G22/G19</f>
        <v>7.1157124744699943E-2</v>
      </c>
    </row>
    <row r="26" spans="2:7" ht="15" customHeight="1" x14ac:dyDescent="0.3"/>
  </sheetData>
  <sheetProtection algorithmName="SHA-512" hashValue="/Caj1Th89mx7gndhF7UQ1y+XIDczkNA4mySKmwceeMel1elGuwD8uZ/qV/T4KaEtnkx9QNfTvnCiEBFrI7NpdQ==" saltValue="lTIcW6/57Duupkur/KdAjA==" spinCount="100000" sheet="1" objects="1" scenarios="1"/>
  <mergeCells count="3">
    <mergeCell ref="B1:G1"/>
    <mergeCell ref="B2:G2"/>
    <mergeCell ref="B4:G4"/>
  </mergeCells>
  <pageMargins left="0.95" right="0.75" top="1" bottom="1" header="0.511811023622047" footer="0.511811023622047"/>
  <pageSetup paperSize="9" fitToHeight="0" orientation="landscape" r:id="rId1"/>
  <colBreaks count="1" manualBreakCount="1">
    <brk id="7"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125"/>
  <sheetViews>
    <sheetView showGridLines="0" zoomScale="117" zoomScaleNormal="117" zoomScaleSheetLayoutView="150" workbookViewId="0">
      <selection activeCell="D41" sqref="D41"/>
    </sheetView>
  </sheetViews>
  <sheetFormatPr defaultColWidth="8.6640625" defaultRowHeight="13.8" x14ac:dyDescent="0.3"/>
  <cols>
    <col min="1" max="1" width="2.44140625" style="68" customWidth="1"/>
    <col min="2" max="2" width="36.5546875" style="68" customWidth="1"/>
    <col min="3" max="3" width="15.88671875" style="68" bestFit="1" customWidth="1"/>
    <col min="4" max="4" width="19.33203125" style="68" bestFit="1" customWidth="1"/>
    <col min="5" max="5" width="16.21875" style="68" bestFit="1" customWidth="1"/>
    <col min="6" max="6" width="13.44140625" style="68" bestFit="1" customWidth="1"/>
    <col min="7" max="7" width="12.44140625" style="68" bestFit="1" customWidth="1"/>
    <col min="8" max="8" width="10.77734375" style="68" bestFit="1" customWidth="1"/>
    <col min="9" max="16384" width="8.6640625" style="68"/>
  </cols>
  <sheetData>
    <row r="1" spans="1:7" ht="24" customHeight="1" x14ac:dyDescent="0.3">
      <c r="B1" s="274" t="s">
        <v>133</v>
      </c>
      <c r="C1" s="274"/>
      <c r="D1" s="274"/>
      <c r="E1" s="274"/>
      <c r="F1" s="274"/>
      <c r="G1" s="274"/>
    </row>
    <row r="2" spans="1:7" ht="18" customHeight="1" x14ac:dyDescent="0.3">
      <c r="B2" s="275" t="s">
        <v>134</v>
      </c>
      <c r="C2" s="275"/>
      <c r="D2" s="275"/>
      <c r="E2" s="275"/>
      <c r="F2" s="275"/>
      <c r="G2" s="275"/>
    </row>
    <row r="4" spans="1:7" ht="15" customHeight="1" x14ac:dyDescent="0.3">
      <c r="A4" s="68" t="s">
        <v>286</v>
      </c>
      <c r="B4" s="276" t="s">
        <v>280</v>
      </c>
      <c r="C4" s="276"/>
      <c r="D4" s="276"/>
      <c r="E4" s="276"/>
      <c r="F4" s="276"/>
      <c r="G4" s="276"/>
    </row>
    <row r="5" spans="1:7" s="1" customFormat="1" ht="4.95" customHeight="1" x14ac:dyDescent="0.3"/>
    <row r="6" spans="1:7" ht="15" customHeight="1" x14ac:dyDescent="0.3">
      <c r="B6" s="125" t="s">
        <v>135</v>
      </c>
      <c r="C6" s="126" t="s">
        <v>136</v>
      </c>
    </row>
    <row r="7" spans="1:7" ht="18" customHeight="1" x14ac:dyDescent="0.3">
      <c r="B7" s="127" t="s">
        <v>137</v>
      </c>
      <c r="C7" s="128">
        <v>6.8000000000000005E-2</v>
      </c>
      <c r="F7" s="273"/>
      <c r="G7" s="273"/>
    </row>
    <row r="8" spans="1:7" ht="18" customHeight="1" x14ac:dyDescent="0.3">
      <c r="B8" s="129" t="s">
        <v>281</v>
      </c>
      <c r="C8" s="130">
        <v>5.5E-2</v>
      </c>
      <c r="F8" s="273"/>
      <c r="G8" s="273"/>
    </row>
    <row r="9" spans="1:7" ht="18" customHeight="1" x14ac:dyDescent="0.3">
      <c r="B9" s="129" t="s">
        <v>138</v>
      </c>
      <c r="C9" s="131">
        <v>0.72</v>
      </c>
      <c r="F9" s="273"/>
      <c r="G9" s="273"/>
    </row>
    <row r="10" spans="1:7" ht="18" customHeight="1" x14ac:dyDescent="0.3">
      <c r="B10" s="129" t="s">
        <v>282</v>
      </c>
      <c r="C10" s="131">
        <v>0.01</v>
      </c>
      <c r="F10" s="273"/>
      <c r="G10" s="273"/>
    </row>
    <row r="11" spans="1:7" ht="18" customHeight="1" x14ac:dyDescent="0.3">
      <c r="B11" s="129" t="s">
        <v>139</v>
      </c>
      <c r="C11" s="130">
        <v>0.25800000000000001</v>
      </c>
      <c r="F11" s="273"/>
      <c r="G11" s="273"/>
    </row>
    <row r="12" spans="1:7" ht="18" customHeight="1" x14ac:dyDescent="0.3">
      <c r="B12" s="129" t="s">
        <v>140</v>
      </c>
      <c r="C12" s="195">
        <f>C9*(1+(1-C11)*C10)</f>
        <v>0.72534239999999994</v>
      </c>
      <c r="F12" s="273"/>
      <c r="G12" s="273"/>
    </row>
    <row r="13" spans="1:7" ht="18" customHeight="1" x14ac:dyDescent="0.3">
      <c r="B13" s="129" t="s">
        <v>233</v>
      </c>
      <c r="C13" s="196">
        <f>C7+C12*C8</f>
        <v>0.107893832</v>
      </c>
      <c r="F13" s="273"/>
      <c r="G13" s="273"/>
    </row>
    <row r="14" spans="1:7" ht="18" customHeight="1" x14ac:dyDescent="0.3">
      <c r="B14" s="129" t="s">
        <v>141</v>
      </c>
      <c r="C14" s="130">
        <v>7.5999999999999998E-2</v>
      </c>
      <c r="F14" s="273"/>
      <c r="G14" s="273"/>
    </row>
    <row r="15" spans="1:7" ht="18" customHeight="1" x14ac:dyDescent="0.3">
      <c r="B15" s="129" t="s">
        <v>142</v>
      </c>
      <c r="C15" s="196">
        <f>C14*(1-C11)</f>
        <v>5.6391999999999998E-2</v>
      </c>
      <c r="F15" s="273"/>
      <c r="G15" s="273"/>
    </row>
    <row r="16" spans="1:7" ht="18" customHeight="1" x14ac:dyDescent="0.3">
      <c r="B16" s="129" t="s">
        <v>143</v>
      </c>
      <c r="C16" s="130">
        <v>0.99</v>
      </c>
      <c r="F16" s="273"/>
      <c r="G16" s="273"/>
    </row>
    <row r="17" spans="1:7" ht="18" customHeight="1" x14ac:dyDescent="0.3">
      <c r="B17" s="129" t="s">
        <v>144</v>
      </c>
      <c r="C17" s="130">
        <v>0.01</v>
      </c>
      <c r="F17" s="273"/>
      <c r="G17" s="273"/>
    </row>
    <row r="18" spans="1:7" ht="18" customHeight="1" x14ac:dyDescent="0.3">
      <c r="B18" s="66" t="s">
        <v>234</v>
      </c>
      <c r="C18" s="130">
        <v>0.05</v>
      </c>
    </row>
    <row r="19" spans="1:7" ht="18" customHeight="1" x14ac:dyDescent="0.3">
      <c r="B19" s="132" t="s">
        <v>145</v>
      </c>
      <c r="C19" s="197">
        <f>(C13*C16)+(C15*C17)</f>
        <v>0.10737881367999999</v>
      </c>
      <c r="D19" s="198">
        <f>J48</f>
        <v>0.10737881367999999</v>
      </c>
      <c r="F19" s="273"/>
      <c r="G19" s="273"/>
    </row>
    <row r="21" spans="1:7" ht="15" customHeight="1" thickBot="1" x14ac:dyDescent="0.35">
      <c r="B21" s="133" t="s">
        <v>146</v>
      </c>
      <c r="C21" s="134" t="s">
        <v>5</v>
      </c>
      <c r="D21" s="134" t="s">
        <v>6</v>
      </c>
      <c r="E21" s="134" t="s">
        <v>7</v>
      </c>
      <c r="F21" s="134" t="s">
        <v>8</v>
      </c>
      <c r="G21" s="134" t="s">
        <v>9</v>
      </c>
    </row>
    <row r="22" spans="1:7" ht="16.5" customHeight="1" x14ac:dyDescent="0.3">
      <c r="B22" s="135" t="s">
        <v>385</v>
      </c>
      <c r="C22" s="199">
        <f>Assumptions!F18</f>
        <v>1250.6256000000001</v>
      </c>
      <c r="D22" s="199">
        <f>Assumptions!G18</f>
        <v>1438.0000320000001</v>
      </c>
      <c r="E22" s="199">
        <f>Assumptions!H18</f>
        <v>1652.9562436800002</v>
      </c>
      <c r="F22" s="199">
        <f>Assumptions!I18</f>
        <v>1853.4402246931204</v>
      </c>
      <c r="G22" s="199">
        <f>Assumptions!J18</f>
        <v>2052.4673629152007</v>
      </c>
    </row>
    <row r="23" spans="1:7" ht="16.5" customHeight="1" x14ac:dyDescent="0.3">
      <c r="B23" s="135" t="s">
        <v>51</v>
      </c>
      <c r="C23" s="199">
        <f>-Assumptions!F20*Assumptions!F13</f>
        <v>-273.97915776000002</v>
      </c>
      <c r="D23" s="199">
        <f>-Assumptions!G20*Assumptions!G13</f>
        <v>-317.27239326720002</v>
      </c>
      <c r="E23" s="199">
        <f>-Assumptions!H20*Assumptions!H13</f>
        <v>-367.19162224012803</v>
      </c>
      <c r="F23" s="199">
        <f>-Assumptions!I20*Assumptions!I13</f>
        <v>-412.39666959228873</v>
      </c>
      <c r="G23" s="199">
        <f>-Assumptions!J20*Assumptions!J13</f>
        <v>-458.93170234783889</v>
      </c>
    </row>
    <row r="24" spans="1:7" ht="16.5" customHeight="1" x14ac:dyDescent="0.3">
      <c r="B24" s="135" t="s">
        <v>52</v>
      </c>
      <c r="C24" s="199">
        <f>-Assumptions!F21</f>
        <v>-140.42112000000003</v>
      </c>
      <c r="D24" s="199">
        <f>-Assumptions!G21</f>
        <v>-158.67586560000001</v>
      </c>
      <c r="E24" s="199">
        <f>-Assumptions!H21</f>
        <v>-173.70048662400001</v>
      </c>
      <c r="F24" s="199">
        <f>-Assumptions!I21</f>
        <v>-186.58794208320003</v>
      </c>
      <c r="G24" s="199">
        <f>-Assumptions!J21</f>
        <v>-191.56362053875208</v>
      </c>
    </row>
    <row r="25" spans="1:7" ht="16.5" customHeight="1" x14ac:dyDescent="0.3">
      <c r="B25" s="135" t="s">
        <v>147</v>
      </c>
      <c r="C25" s="199">
        <f>-Assumptions!F23</f>
        <v>-144.96600000000012</v>
      </c>
      <c r="D25" s="199">
        <f>-Assumptions!G23</f>
        <v>-146.34513599999991</v>
      </c>
      <c r="E25" s="199">
        <f>-Assumptions!H23</f>
        <v>-162.14690016000009</v>
      </c>
      <c r="F25" s="199">
        <f>-Assumptions!I23</f>
        <v>-147.64541363040007</v>
      </c>
      <c r="G25" s="199">
        <f>-Assumptions!J23</f>
        <v>-143.05075559712054</v>
      </c>
    </row>
    <row r="26" spans="1:7" ht="16.5" customHeight="1" thickBot="1" x14ac:dyDescent="0.35">
      <c r="B26" s="136" t="s">
        <v>54</v>
      </c>
      <c r="C26" s="200">
        <f>C22+C23+C24+C25</f>
        <v>691.25932223999985</v>
      </c>
      <c r="D26" s="200">
        <f t="shared" ref="D26:G26" si="0">D22+D23+D24+D25</f>
        <v>815.70663713280032</v>
      </c>
      <c r="E26" s="200">
        <f t="shared" si="0"/>
        <v>949.91723465587211</v>
      </c>
      <c r="F26" s="200">
        <f t="shared" si="0"/>
        <v>1106.8101993872317</v>
      </c>
      <c r="G26" s="200">
        <f t="shared" si="0"/>
        <v>1258.9212844314893</v>
      </c>
    </row>
    <row r="27" spans="1:7" ht="16.5" customHeight="1" x14ac:dyDescent="0.3">
      <c r="B27" s="135" t="s">
        <v>386</v>
      </c>
      <c r="C27" s="137">
        <v>0.5</v>
      </c>
      <c r="D27" s="201">
        <f>C27+1</f>
        <v>1.5</v>
      </c>
      <c r="E27" s="201">
        <f t="shared" ref="E27:G27" si="1">D27+1</f>
        <v>2.5</v>
      </c>
      <c r="F27" s="201">
        <f t="shared" si="1"/>
        <v>3.5</v>
      </c>
      <c r="G27" s="201">
        <f t="shared" si="1"/>
        <v>4.5</v>
      </c>
    </row>
    <row r="28" spans="1:7" ht="16.5" customHeight="1" x14ac:dyDescent="0.3">
      <c r="B28" s="135" t="s">
        <v>148</v>
      </c>
      <c r="C28" s="202">
        <f>1/(1+$D$19)^C27</f>
        <v>0.95028066914342069</v>
      </c>
      <c r="D28" s="202">
        <f>1/(1+$D$19)^D27</f>
        <v>0.85813513623715032</v>
      </c>
      <c r="E28" s="202">
        <f>1/(1+$D$19)^E27</f>
        <v>0.77492464695565877</v>
      </c>
      <c r="F28" s="202">
        <f>1/(1+$D$19)^F27</f>
        <v>0.69978280005236704</v>
      </c>
      <c r="G28" s="202">
        <f>1/(1+$D$19)^G27</f>
        <v>0.63192720630700416</v>
      </c>
    </row>
    <row r="29" spans="1:7" ht="16.5" customHeight="1" x14ac:dyDescent="0.3">
      <c r="B29" s="138" t="s">
        <v>149</v>
      </c>
      <c r="C29" s="203">
        <f>C26*C28</f>
        <v>656.89037128985456</v>
      </c>
      <c r="D29" s="203">
        <f>D26*D28</f>
        <v>699.98652618550329</v>
      </c>
      <c r="E29" s="203">
        <f t="shared" ref="E29:G29" si="2">E26*E28</f>
        <v>736.11427770279738</v>
      </c>
      <c r="F29" s="203">
        <f t="shared" si="2"/>
        <v>774.52674045371566</v>
      </c>
      <c r="G29" s="203">
        <f t="shared" si="2"/>
        <v>795.54661023121639</v>
      </c>
    </row>
    <row r="30" spans="1:7" ht="16.5" customHeight="1" x14ac:dyDescent="0.3">
      <c r="B30" s="273"/>
      <c r="C30" s="273"/>
      <c r="D30" s="139"/>
      <c r="E30" s="139"/>
      <c r="F30" s="139"/>
      <c r="G30" s="139"/>
    </row>
    <row r="31" spans="1:7" ht="16.5" customHeight="1" thickBot="1" x14ac:dyDescent="0.35">
      <c r="A31" s="68" t="s">
        <v>286</v>
      </c>
      <c r="B31" s="140" t="s">
        <v>150</v>
      </c>
      <c r="C31" s="141" t="s">
        <v>136</v>
      </c>
    </row>
    <row r="32" spans="1:7" ht="16.5" customHeight="1" x14ac:dyDescent="0.3">
      <c r="B32" s="135" t="s">
        <v>387</v>
      </c>
      <c r="C32" s="204">
        <f>G22*(1+C18)</f>
        <v>2155.0907310609609</v>
      </c>
    </row>
    <row r="33" spans="1:10" ht="16.5" customHeight="1" x14ac:dyDescent="0.3">
      <c r="B33" s="135" t="s">
        <v>236</v>
      </c>
      <c r="C33" s="205">
        <f>J49</f>
        <v>18</v>
      </c>
    </row>
    <row r="34" spans="1:10" ht="16.5" customHeight="1" x14ac:dyDescent="0.3">
      <c r="B34" s="135" t="s">
        <v>237</v>
      </c>
      <c r="C34" s="204">
        <f>C32*C33</f>
        <v>38791.633159097299</v>
      </c>
    </row>
    <row r="35" spans="1:10" ht="16.5" customHeight="1" x14ac:dyDescent="0.3">
      <c r="B35" s="135" t="s">
        <v>238</v>
      </c>
      <c r="C35" s="204">
        <f>C34/(1+D19)^5</f>
        <v>23294.694131581931</v>
      </c>
    </row>
    <row r="36" spans="1:10" ht="16.5" customHeight="1" thickBot="1" x14ac:dyDescent="0.35">
      <c r="B36" s="142" t="s">
        <v>235</v>
      </c>
      <c r="C36" s="206">
        <f>SUM(C29:G29)</f>
        <v>3663.0645258630875</v>
      </c>
    </row>
    <row r="37" spans="1:10" x14ac:dyDescent="0.3">
      <c r="B37" s="273"/>
      <c r="C37" s="273"/>
    </row>
    <row r="38" spans="1:10" ht="14.4" thickBot="1" x14ac:dyDescent="0.35">
      <c r="B38" s="143" t="s">
        <v>151</v>
      </c>
      <c r="C38" s="144"/>
    </row>
    <row r="39" spans="1:10" x14ac:dyDescent="0.3">
      <c r="B39" s="145" t="s">
        <v>388</v>
      </c>
      <c r="C39" s="207">
        <f>C36+C35</f>
        <v>26957.758657445018</v>
      </c>
      <c r="F39" s="273"/>
      <c r="G39" s="273"/>
    </row>
    <row r="40" spans="1:10" x14ac:dyDescent="0.3">
      <c r="B40" s="146" t="s">
        <v>164</v>
      </c>
      <c r="C40" s="208">
        <f>'Summary FootballField'!I11</f>
        <v>-143.39000000000001</v>
      </c>
      <c r="F40" s="273"/>
      <c r="G40" s="273"/>
    </row>
    <row r="41" spans="1:10" x14ac:dyDescent="0.3">
      <c r="B41" s="145" t="s">
        <v>389</v>
      </c>
      <c r="C41" s="209">
        <f>C39-C40</f>
        <v>27101.148657445017</v>
      </c>
      <c r="F41" s="273"/>
      <c r="G41" s="273"/>
    </row>
    <row r="42" spans="1:10" x14ac:dyDescent="0.3">
      <c r="B42" s="146" t="s">
        <v>152</v>
      </c>
      <c r="C42" s="208">
        <f>C41/Assumptions!C47</f>
        <v>1688.5450876912782</v>
      </c>
      <c r="D42" s="146"/>
      <c r="E42" s="146"/>
      <c r="F42" s="273"/>
      <c r="G42" s="273"/>
    </row>
    <row r="43" spans="1:10" x14ac:dyDescent="0.3">
      <c r="B43" s="146" t="s">
        <v>390</v>
      </c>
      <c r="C43" s="210">
        <f>'Deal Mechanics'!C6</f>
        <v>1600</v>
      </c>
      <c r="D43" s="146"/>
      <c r="E43" s="146"/>
      <c r="F43" s="273"/>
      <c r="G43" s="273"/>
    </row>
    <row r="44" spans="1:10" ht="14.4" thickBot="1" x14ac:dyDescent="0.35">
      <c r="B44" s="147" t="s">
        <v>153</v>
      </c>
      <c r="C44" s="211">
        <f>C43/C42-1</f>
        <v>-5.2438687208728685E-2</v>
      </c>
      <c r="D44" s="146"/>
      <c r="E44" s="146"/>
      <c r="F44" s="273"/>
      <c r="G44" s="273"/>
    </row>
    <row r="45" spans="1:10" x14ac:dyDescent="0.3">
      <c r="B45" s="146"/>
      <c r="C45" s="148"/>
      <c r="D45" s="146"/>
      <c r="E45" s="146"/>
      <c r="J45" s="149"/>
    </row>
    <row r="46" spans="1:10" x14ac:dyDescent="0.3">
      <c r="A46" s="68" t="s">
        <v>286</v>
      </c>
      <c r="B46" s="150" t="s">
        <v>312</v>
      </c>
      <c r="C46" s="148"/>
      <c r="D46" s="146"/>
      <c r="E46" s="146"/>
      <c r="J46" s="149"/>
    </row>
    <row r="47" spans="1:10" x14ac:dyDescent="0.3">
      <c r="B47" s="151" t="s">
        <v>304</v>
      </c>
      <c r="C47" s="152" t="s">
        <v>305</v>
      </c>
      <c r="D47" s="152"/>
      <c r="E47" s="152"/>
      <c r="F47" s="152"/>
      <c r="G47" s="152"/>
      <c r="J47" s="149"/>
    </row>
    <row r="48" spans="1:10" ht="14.4" x14ac:dyDescent="0.3">
      <c r="B48" s="212">
        <f>$C$42</f>
        <v>1688.5450876912782</v>
      </c>
      <c r="C48" s="153">
        <v>16</v>
      </c>
      <c r="D48" s="154">
        <v>17</v>
      </c>
      <c r="E48" s="154">
        <v>18</v>
      </c>
      <c r="F48" s="153">
        <v>19</v>
      </c>
      <c r="G48" s="153">
        <v>20</v>
      </c>
      <c r="J48" s="155">
        <v>0.10737881367999999</v>
      </c>
    </row>
    <row r="49" spans="1:10" x14ac:dyDescent="0.3">
      <c r="B49" s="156">
        <v>9.7000000000000003E-2</v>
      </c>
      <c r="C49" s="213">
        <f t="dataTable" ref="C49:G53" dt2D="1" dtr="1" r1="J49" r2="J48"/>
        <v>1595.1442734746761</v>
      </c>
      <c r="D49" s="213">
        <v>1679.6638640136855</v>
      </c>
      <c r="E49" s="213">
        <v>1764.1834545526947</v>
      </c>
      <c r="F49" s="213">
        <v>1848.7030450917039</v>
      </c>
      <c r="G49" s="213">
        <v>1933.2226356307133</v>
      </c>
      <c r="J49" s="149">
        <v>18</v>
      </c>
    </row>
    <row r="50" spans="1:10" x14ac:dyDescent="0.3">
      <c r="B50" s="157">
        <v>0.10199999999999999</v>
      </c>
      <c r="C50" s="77">
        <v>1561.9828673802667</v>
      </c>
      <c r="D50" s="77">
        <v>1644.6023649723663</v>
      </c>
      <c r="E50" s="77">
        <v>1727.2218625644659</v>
      </c>
      <c r="F50" s="77">
        <v>1809.8413601565658</v>
      </c>
      <c r="G50" s="77">
        <v>1892.4608577486654</v>
      </c>
      <c r="J50" s="149"/>
    </row>
    <row r="51" spans="1:10" x14ac:dyDescent="0.3">
      <c r="B51" s="157">
        <v>0.10737881367999999</v>
      </c>
      <c r="C51" s="77">
        <v>1527.2803308094371</v>
      </c>
      <c r="D51" s="77">
        <v>1607.9127092503577</v>
      </c>
      <c r="E51" s="214">
        <v>1688.5450876912782</v>
      </c>
      <c r="F51" s="77">
        <v>1769.1774661321986</v>
      </c>
      <c r="G51" s="77">
        <v>1849.8098445731191</v>
      </c>
      <c r="J51" s="149"/>
    </row>
    <row r="52" spans="1:10" x14ac:dyDescent="0.3">
      <c r="B52" s="157">
        <v>0.115</v>
      </c>
      <c r="C52" s="77">
        <v>1479.7709649416836</v>
      </c>
      <c r="D52" s="77">
        <v>1557.6850877170668</v>
      </c>
      <c r="E52" s="77">
        <v>1635.5992104924503</v>
      </c>
      <c r="F52" s="77">
        <v>1713.513333267834</v>
      </c>
      <c r="G52" s="77">
        <v>1791.4274560432175</v>
      </c>
      <c r="J52" s="149"/>
    </row>
    <row r="53" spans="1:10" x14ac:dyDescent="0.3">
      <c r="B53" s="157">
        <v>0.12</v>
      </c>
      <c r="C53" s="77">
        <v>1449.620448444854</v>
      </c>
      <c r="D53" s="77">
        <v>1525.8108756918455</v>
      </c>
      <c r="E53" s="77">
        <v>1602.0013029388374</v>
      </c>
      <c r="F53" s="77">
        <v>1678.1917301858293</v>
      </c>
      <c r="G53" s="77">
        <v>1754.382157432821</v>
      </c>
    </row>
    <row r="54" spans="1:10" ht="14.4" x14ac:dyDescent="0.3">
      <c r="B54" s="148"/>
      <c r="C54" s="1"/>
      <c r="D54" s="1"/>
      <c r="E54" s="1"/>
      <c r="F54" s="1"/>
      <c r="G54" s="1"/>
    </row>
    <row r="55" spans="1:10" x14ac:dyDescent="0.3">
      <c r="B55" s="146"/>
    </row>
    <row r="56" spans="1:10" ht="18" x14ac:dyDescent="0.3">
      <c r="A56" s="68" t="s">
        <v>286</v>
      </c>
      <c r="B56" s="124" t="s">
        <v>154</v>
      </c>
      <c r="C56" s="158"/>
      <c r="D56" s="158"/>
      <c r="E56" s="158"/>
      <c r="F56" s="158"/>
      <c r="G56" s="158"/>
    </row>
    <row r="57" spans="1:10" s="1" customFormat="1" ht="4.95" customHeight="1" thickBot="1" x14ac:dyDescent="0.35"/>
    <row r="58" spans="1:10" ht="14.4" thickBot="1" x14ac:dyDescent="0.35">
      <c r="B58" s="159" t="s">
        <v>155</v>
      </c>
      <c r="C58" s="160" t="s">
        <v>249</v>
      </c>
      <c r="D58" s="160" t="s">
        <v>250</v>
      </c>
      <c r="E58" s="160" t="s">
        <v>251</v>
      </c>
      <c r="F58" s="160" t="s">
        <v>252</v>
      </c>
      <c r="G58" s="160" t="s">
        <v>253</v>
      </c>
    </row>
    <row r="59" spans="1:10" x14ac:dyDescent="0.3">
      <c r="B59" s="135" t="s">
        <v>245</v>
      </c>
      <c r="C59" s="22">
        <v>65748</v>
      </c>
      <c r="D59" s="22">
        <v>66556</v>
      </c>
      <c r="E59" s="22">
        <v>2835</v>
      </c>
      <c r="F59" s="205">
        <f>D59/E59</f>
        <v>23.476543209876542</v>
      </c>
      <c r="G59" s="161">
        <v>27.4</v>
      </c>
    </row>
    <row r="60" spans="1:10" x14ac:dyDescent="0.3">
      <c r="B60" s="68" t="s">
        <v>248</v>
      </c>
      <c r="C60" s="22">
        <v>39367</v>
      </c>
      <c r="D60" s="22">
        <v>39522</v>
      </c>
      <c r="E60" s="22">
        <v>1365</v>
      </c>
      <c r="F60" s="205">
        <f t="shared" ref="F60:F62" si="3">D60/E60</f>
        <v>28.953846153846154</v>
      </c>
      <c r="G60" s="161">
        <v>37.299999999999997</v>
      </c>
    </row>
    <row r="61" spans="1:10" x14ac:dyDescent="0.3">
      <c r="B61" s="68" t="s">
        <v>157</v>
      </c>
      <c r="C61" s="22">
        <v>19247</v>
      </c>
      <c r="D61" s="22">
        <v>21538</v>
      </c>
      <c r="E61" s="22">
        <v>1120</v>
      </c>
      <c r="F61" s="205">
        <f t="shared" si="3"/>
        <v>19.230357142857144</v>
      </c>
      <c r="G61" s="161">
        <v>30.4</v>
      </c>
    </row>
    <row r="62" spans="1:10" x14ac:dyDescent="0.3">
      <c r="B62" s="162" t="s">
        <v>246</v>
      </c>
      <c r="C62" s="22">
        <v>103504</v>
      </c>
      <c r="D62" s="22">
        <v>109333</v>
      </c>
      <c r="E62" s="22">
        <v>3629</v>
      </c>
      <c r="F62" s="205">
        <f t="shared" si="3"/>
        <v>30.127583356296501</v>
      </c>
      <c r="G62" s="161">
        <v>51.6</v>
      </c>
    </row>
    <row r="63" spans="1:10" x14ac:dyDescent="0.3">
      <c r="B63" s="68" t="s">
        <v>247</v>
      </c>
      <c r="C63" s="22">
        <v>42039</v>
      </c>
      <c r="D63" s="22">
        <v>43054</v>
      </c>
      <c r="E63" s="22">
        <v>1812</v>
      </c>
      <c r="F63" s="205">
        <f>D63/E63</f>
        <v>23.760485651214129</v>
      </c>
      <c r="G63" s="161">
        <v>39.799999999999997</v>
      </c>
    </row>
    <row r="64" spans="1:10" x14ac:dyDescent="0.3">
      <c r="B64" s="162"/>
      <c r="C64" s="163"/>
      <c r="D64" s="163"/>
      <c r="E64" s="164"/>
      <c r="F64" s="165"/>
      <c r="G64" s="166"/>
    </row>
    <row r="65" spans="2:7" x14ac:dyDescent="0.3">
      <c r="B65" s="158" t="s">
        <v>158</v>
      </c>
      <c r="C65" s="167">
        <v>34966</v>
      </c>
      <c r="D65" s="167">
        <v>34823</v>
      </c>
      <c r="E65" s="167">
        <v>1195</v>
      </c>
      <c r="F65" s="215">
        <f>D65/E65</f>
        <v>29.140585774058579</v>
      </c>
      <c r="G65" s="168">
        <v>47.9</v>
      </c>
    </row>
    <row r="66" spans="2:7" x14ac:dyDescent="0.3">
      <c r="B66" s="169" t="s">
        <v>159</v>
      </c>
      <c r="C66" s="75">
        <f>MEDIAN(C59:C63)</f>
        <v>42039</v>
      </c>
      <c r="D66" s="75">
        <f>MEDIAN(D59:D63)</f>
        <v>43054</v>
      </c>
      <c r="E66" s="75">
        <f>MEDIAN(E59:E63)</f>
        <v>1812</v>
      </c>
      <c r="F66" s="216">
        <f>MEDIAN(F59:F63)</f>
        <v>23.760485651214129</v>
      </c>
      <c r="G66" s="217">
        <f>MEDIAN(G59:G63)</f>
        <v>37.299999999999997</v>
      </c>
    </row>
    <row r="67" spans="2:7" x14ac:dyDescent="0.3">
      <c r="B67" s="169" t="s">
        <v>160</v>
      </c>
      <c r="C67" s="75">
        <f>AVERAGE(C59:C63)</f>
        <v>53981</v>
      </c>
      <c r="D67" s="75">
        <f>AVERAGE(D59:D63)</f>
        <v>56000.6</v>
      </c>
      <c r="E67" s="75">
        <f>AVERAGE(E59:E63)</f>
        <v>2152.1999999999998</v>
      </c>
      <c r="F67" s="216">
        <f>AVERAGE(F59:F63)</f>
        <v>25.109763102818093</v>
      </c>
      <c r="G67" s="217">
        <f>AVERAGE(G59:G63)</f>
        <v>37.299999999999997</v>
      </c>
    </row>
    <row r="69" spans="2:7" ht="14.4" thickBot="1" x14ac:dyDescent="0.35">
      <c r="B69" s="170" t="s">
        <v>161</v>
      </c>
      <c r="C69" s="170"/>
    </row>
    <row r="70" spans="2:7" x14ac:dyDescent="0.3">
      <c r="B70" s="162" t="s">
        <v>391</v>
      </c>
      <c r="C70" s="35">
        <f>E65</f>
        <v>1195</v>
      </c>
    </row>
    <row r="71" spans="2:7" x14ac:dyDescent="0.3">
      <c r="B71" s="162" t="s">
        <v>162</v>
      </c>
      <c r="C71" s="218">
        <f>F66</f>
        <v>23.760485651214129</v>
      </c>
    </row>
    <row r="72" spans="2:7" x14ac:dyDescent="0.3">
      <c r="B72" s="162" t="s">
        <v>163</v>
      </c>
      <c r="C72" s="218">
        <f>F67</f>
        <v>25.109763102818093</v>
      </c>
    </row>
    <row r="73" spans="2:7" x14ac:dyDescent="0.3">
      <c r="B73" s="169" t="s">
        <v>392</v>
      </c>
      <c r="C73" s="75">
        <f>C70*C71</f>
        <v>28393.780353200884</v>
      </c>
    </row>
    <row r="74" spans="2:7" x14ac:dyDescent="0.3">
      <c r="B74" s="169" t="s">
        <v>393</v>
      </c>
      <c r="C74" s="75">
        <f>C70*C72</f>
        <v>30006.16690786762</v>
      </c>
    </row>
    <row r="75" spans="2:7" x14ac:dyDescent="0.3">
      <c r="B75" s="162" t="s">
        <v>164</v>
      </c>
      <c r="C75" s="199">
        <f>'Summary FootballField'!I11</f>
        <v>-143.39000000000001</v>
      </c>
    </row>
    <row r="76" spans="2:7" x14ac:dyDescent="0.3">
      <c r="B76" s="169" t="s">
        <v>394</v>
      </c>
      <c r="C76" s="75">
        <f>C73-C75</f>
        <v>28537.170353200883</v>
      </c>
      <c r="D76" s="171"/>
    </row>
    <row r="77" spans="2:7" x14ac:dyDescent="0.3">
      <c r="B77" s="169" t="s">
        <v>395</v>
      </c>
      <c r="C77" s="75">
        <f>C74-C75</f>
        <v>30149.55690786762</v>
      </c>
    </row>
    <row r="78" spans="2:7" x14ac:dyDescent="0.3">
      <c r="B78" s="162" t="s">
        <v>165</v>
      </c>
      <c r="C78" s="199">
        <f>C76/Assumptions!$C$47</f>
        <v>1778.0168444361921</v>
      </c>
    </row>
    <row r="79" spans="2:7" x14ac:dyDescent="0.3">
      <c r="B79" s="162" t="s">
        <v>166</v>
      </c>
      <c r="C79" s="199">
        <f>C77/Assumptions!$C$47</f>
        <v>1878.4770659107551</v>
      </c>
    </row>
    <row r="80" spans="2:7" x14ac:dyDescent="0.3">
      <c r="B80" s="162"/>
      <c r="C80" s="114"/>
    </row>
    <row r="81" spans="1:7" x14ac:dyDescent="0.3">
      <c r="A81" s="68" t="s">
        <v>286</v>
      </c>
      <c r="B81" s="150" t="s">
        <v>311</v>
      </c>
      <c r="C81" s="172"/>
    </row>
    <row r="82" spans="1:7" x14ac:dyDescent="0.3">
      <c r="B82" s="151" t="s">
        <v>306</v>
      </c>
      <c r="C82" s="152" t="s">
        <v>307</v>
      </c>
      <c r="D82" s="152"/>
      <c r="E82" s="152"/>
      <c r="F82" s="152"/>
      <c r="G82" s="152"/>
    </row>
    <row r="83" spans="1:7" ht="14.4" x14ac:dyDescent="0.3">
      <c r="B83" s="219">
        <f>C78</f>
        <v>1778.0168444361921</v>
      </c>
      <c r="C83" s="173">
        <v>1095</v>
      </c>
      <c r="D83" s="174">
        <v>1145</v>
      </c>
      <c r="E83" s="174">
        <v>1195</v>
      </c>
      <c r="F83" s="174">
        <v>1245</v>
      </c>
      <c r="G83" s="174">
        <v>1295</v>
      </c>
    </row>
    <row r="84" spans="1:7" x14ac:dyDescent="0.3">
      <c r="B84" s="175">
        <v>21.8</v>
      </c>
      <c r="C84" s="220">
        <f t="dataTable" ref="C84:G88" dt2D="1" dtr="1" r1="C71" r2="E65"/>
        <v>1496.2236760124611</v>
      </c>
      <c r="D84" s="77">
        <v>1564.1364485981308</v>
      </c>
      <c r="E84" s="77">
        <v>1632.0492211838005</v>
      </c>
      <c r="F84" s="77">
        <v>1699.9619937694704</v>
      </c>
      <c r="G84" s="77">
        <v>1767.8747663551401</v>
      </c>
    </row>
    <row r="85" spans="1:7" x14ac:dyDescent="0.3">
      <c r="B85" s="175">
        <v>22.8</v>
      </c>
      <c r="C85" s="220">
        <v>1564.4479750778814</v>
      </c>
      <c r="D85" s="77">
        <v>1635.4760124610591</v>
      </c>
      <c r="E85" s="77">
        <v>1706.5040498442368</v>
      </c>
      <c r="F85" s="77">
        <v>1777.5320872274142</v>
      </c>
      <c r="G85" s="77">
        <v>1848.5601246105919</v>
      </c>
    </row>
    <row r="86" spans="1:7" x14ac:dyDescent="0.3">
      <c r="B86" s="175">
        <v>23.760485651214129</v>
      </c>
      <c r="C86" s="220">
        <v>1629.9764353943597</v>
      </c>
      <c r="D86" s="77">
        <v>1703.9966399152759</v>
      </c>
      <c r="E86" s="214">
        <v>1778.0168444361921</v>
      </c>
      <c r="F86" s="77">
        <v>1852.0370489571083</v>
      </c>
      <c r="G86" s="77">
        <v>1926.0572534780247</v>
      </c>
    </row>
    <row r="87" spans="1:7" x14ac:dyDescent="0.3">
      <c r="B87" s="175">
        <v>24.8</v>
      </c>
      <c r="C87" s="220">
        <v>1700.8965732087227</v>
      </c>
      <c r="D87" s="77">
        <v>1778.1551401869158</v>
      </c>
      <c r="E87" s="77">
        <v>1855.4137071651089</v>
      </c>
      <c r="F87" s="77">
        <v>1932.672274143302</v>
      </c>
      <c r="G87" s="77">
        <v>2009.9308411214952</v>
      </c>
    </row>
    <row r="88" spans="1:7" x14ac:dyDescent="0.3">
      <c r="B88" s="175">
        <v>25.8</v>
      </c>
      <c r="C88" s="220">
        <v>1769.1208722741433</v>
      </c>
      <c r="D88" s="77">
        <v>1849.4947040498441</v>
      </c>
      <c r="E88" s="77">
        <v>1929.868535825545</v>
      </c>
      <c r="F88" s="77">
        <v>2010.2423676012461</v>
      </c>
      <c r="G88" s="77">
        <v>2090.616199376947</v>
      </c>
    </row>
    <row r="89" spans="1:7" x14ac:dyDescent="0.3">
      <c r="B89" s="162"/>
      <c r="C89" s="172"/>
    </row>
    <row r="91" spans="1:7" ht="18" x14ac:dyDescent="0.3">
      <c r="A91" s="68" t="s">
        <v>286</v>
      </c>
      <c r="B91" s="276" t="s">
        <v>167</v>
      </c>
      <c r="C91" s="276"/>
      <c r="D91" s="276"/>
      <c r="E91" s="276"/>
      <c r="F91" s="276"/>
    </row>
    <row r="92" spans="1:7" s="176" customFormat="1" ht="4.95" customHeight="1" x14ac:dyDescent="0.3">
      <c r="B92" s="177"/>
      <c r="C92" s="177"/>
      <c r="D92" s="177"/>
      <c r="E92" s="177"/>
      <c r="F92" s="177"/>
    </row>
    <row r="93" spans="1:7" ht="25.8" customHeight="1" x14ac:dyDescent="0.3">
      <c r="B93" s="178" t="s">
        <v>168</v>
      </c>
      <c r="C93" s="179" t="s">
        <v>169</v>
      </c>
      <c r="D93" s="179" t="s">
        <v>156</v>
      </c>
      <c r="E93" s="179" t="s">
        <v>170</v>
      </c>
      <c r="F93" s="179" t="s">
        <v>171</v>
      </c>
      <c r="G93" s="1"/>
    </row>
    <row r="94" spans="1:7" ht="14.4" x14ac:dyDescent="0.3">
      <c r="B94" s="162" t="s">
        <v>257</v>
      </c>
      <c r="C94" s="180" t="s">
        <v>258</v>
      </c>
      <c r="D94" s="22">
        <v>1385</v>
      </c>
      <c r="E94" s="161">
        <v>14.8</v>
      </c>
      <c r="F94" s="20">
        <v>0.34</v>
      </c>
      <c r="G94" s="1"/>
    </row>
    <row r="95" spans="1:7" ht="14.4" x14ac:dyDescent="0.3">
      <c r="B95" s="162" t="s">
        <v>172</v>
      </c>
      <c r="C95" s="180" t="s">
        <v>255</v>
      </c>
      <c r="D95" s="22">
        <v>1885</v>
      </c>
      <c r="E95" s="161">
        <v>22.4</v>
      </c>
      <c r="F95" s="20">
        <v>0</v>
      </c>
      <c r="G95" s="1"/>
    </row>
    <row r="96" spans="1:7" ht="14.4" x14ac:dyDescent="0.3">
      <c r="B96" s="162" t="s">
        <v>173</v>
      </c>
      <c r="C96" s="180" t="s">
        <v>256</v>
      </c>
      <c r="D96" s="22">
        <v>13630</v>
      </c>
      <c r="E96" s="161">
        <v>24</v>
      </c>
      <c r="F96" s="20">
        <v>0</v>
      </c>
      <c r="G96" s="1"/>
    </row>
    <row r="97" spans="2:7" ht="14.4" x14ac:dyDescent="0.3">
      <c r="B97" s="162" t="s">
        <v>254</v>
      </c>
      <c r="C97" s="180" t="s">
        <v>256</v>
      </c>
      <c r="D97" s="22">
        <v>13336</v>
      </c>
      <c r="E97" s="161">
        <v>24.7</v>
      </c>
      <c r="F97" s="20">
        <v>0.48</v>
      </c>
      <c r="G97" s="1"/>
    </row>
    <row r="98" spans="2:7" ht="14.4" x14ac:dyDescent="0.3">
      <c r="B98" s="162" t="s">
        <v>259</v>
      </c>
      <c r="C98" s="180" t="s">
        <v>174</v>
      </c>
      <c r="D98" s="22">
        <v>1840</v>
      </c>
      <c r="E98" s="161">
        <v>22.1</v>
      </c>
      <c r="F98" s="20">
        <v>0.33</v>
      </c>
      <c r="G98" s="1"/>
    </row>
    <row r="99" spans="2:7" ht="14.4" x14ac:dyDescent="0.3">
      <c r="B99" s="162"/>
      <c r="C99" s="181"/>
      <c r="D99" s="182"/>
      <c r="E99" s="183"/>
      <c r="F99" s="184"/>
      <c r="G99" s="1"/>
    </row>
    <row r="100" spans="2:7" ht="14.4" x14ac:dyDescent="0.3">
      <c r="B100" s="158" t="s">
        <v>260</v>
      </c>
      <c r="C100" s="185" t="s">
        <v>12</v>
      </c>
      <c r="D100" s="223">
        <f>MEDIAN(D94:D98)</f>
        <v>1885</v>
      </c>
      <c r="E100" s="221">
        <f>J116</f>
        <v>22.4</v>
      </c>
      <c r="F100" s="222">
        <f>MEDIAN(F94:F98)</f>
        <v>0.33</v>
      </c>
      <c r="G100" s="1"/>
    </row>
    <row r="101" spans="2:7" ht="14.4" x14ac:dyDescent="0.3">
      <c r="B101" s="169" t="s">
        <v>175</v>
      </c>
      <c r="C101" s="186" t="s">
        <v>176</v>
      </c>
      <c r="D101" s="75">
        <f>'Deal Mechanics'!C35</f>
        <v>25680</v>
      </c>
      <c r="E101" s="187">
        <v>22.7</v>
      </c>
      <c r="F101" s="188" t="s">
        <v>12</v>
      </c>
      <c r="G101" s="1"/>
    </row>
    <row r="103" spans="2:7" x14ac:dyDescent="0.3">
      <c r="B103" s="162" t="s">
        <v>391</v>
      </c>
      <c r="C103" s="35">
        <f>E65</f>
        <v>1195</v>
      </c>
    </row>
    <row r="104" spans="2:7" x14ac:dyDescent="0.3">
      <c r="B104" s="162" t="s">
        <v>177</v>
      </c>
      <c r="C104" s="218">
        <f>E100</f>
        <v>22.4</v>
      </c>
    </row>
    <row r="105" spans="2:7" x14ac:dyDescent="0.3">
      <c r="B105" s="162" t="s">
        <v>271</v>
      </c>
      <c r="C105" s="224">
        <f>J115</f>
        <v>0</v>
      </c>
    </row>
    <row r="106" spans="2:7" x14ac:dyDescent="0.3">
      <c r="B106" s="169" t="s">
        <v>178</v>
      </c>
      <c r="C106" s="75">
        <f>C103*C104*(1+C105)</f>
        <v>26768</v>
      </c>
    </row>
    <row r="107" spans="2:7" x14ac:dyDescent="0.3">
      <c r="B107" s="162" t="s">
        <v>164</v>
      </c>
      <c r="C107" s="199">
        <f>'Summary FootballField'!I11</f>
        <v>-143.39000000000001</v>
      </c>
      <c r="G107" s="69"/>
    </row>
    <row r="108" spans="2:7" x14ac:dyDescent="0.3">
      <c r="B108" s="169" t="s">
        <v>179</v>
      </c>
      <c r="C108" s="75">
        <f>C106-C107</f>
        <v>26911.39</v>
      </c>
    </row>
    <row r="109" spans="2:7" x14ac:dyDescent="0.3">
      <c r="B109" s="162" t="s">
        <v>152</v>
      </c>
      <c r="C109" s="199">
        <f>C108/Assumptions!$C$47</f>
        <v>1676.7221183800623</v>
      </c>
    </row>
    <row r="110" spans="2:7" x14ac:dyDescent="0.3">
      <c r="B110" s="162"/>
      <c r="C110" s="114"/>
    </row>
    <row r="111" spans="2:7" x14ac:dyDescent="0.3">
      <c r="B111" s="150" t="s">
        <v>310</v>
      </c>
      <c r="C111" s="114"/>
    </row>
    <row r="112" spans="2:7" x14ac:dyDescent="0.3">
      <c r="B112" s="151" t="s">
        <v>308</v>
      </c>
      <c r="C112" s="152" t="s">
        <v>309</v>
      </c>
      <c r="D112" s="152"/>
      <c r="E112" s="152"/>
      <c r="F112" s="152"/>
      <c r="G112" s="152"/>
    </row>
    <row r="113" spans="2:11" ht="14.4" x14ac:dyDescent="0.3">
      <c r="B113" s="225">
        <f>C109</f>
        <v>1676.7221183800623</v>
      </c>
      <c r="C113" s="189">
        <v>0</v>
      </c>
      <c r="D113" s="189">
        <v>0.1</v>
      </c>
      <c r="E113" s="189">
        <v>0.2</v>
      </c>
      <c r="F113" s="189">
        <v>0.3</v>
      </c>
      <c r="G113" s="189">
        <v>0.4</v>
      </c>
    </row>
    <row r="114" spans="2:11" ht="14.4" x14ac:dyDescent="0.3">
      <c r="B114" s="190">
        <v>20.399999999999999</v>
      </c>
      <c r="C114" s="226">
        <f t="dataTable" ref="C114:G117" dt2D="1" dtr="1" r1="J115" r2="J116"/>
        <v>1527.8124610591899</v>
      </c>
      <c r="D114" s="226">
        <v>1679.7003115264797</v>
      </c>
      <c r="E114" s="226">
        <v>1831.5881619937693</v>
      </c>
      <c r="F114" s="226">
        <v>1983.4760124610591</v>
      </c>
      <c r="G114" s="226">
        <v>2135.3638629283487</v>
      </c>
    </row>
    <row r="115" spans="2:11" ht="14.4" x14ac:dyDescent="0.3">
      <c r="B115" s="190">
        <v>21.4</v>
      </c>
      <c r="C115" s="226">
        <v>1602.267289719626</v>
      </c>
      <c r="D115" s="226">
        <v>1761.6006230529595</v>
      </c>
      <c r="E115" s="226">
        <v>1920.9339563862927</v>
      </c>
      <c r="F115" s="226">
        <v>2080.2672897196262</v>
      </c>
      <c r="G115" s="226">
        <v>2239.6006230529592</v>
      </c>
      <c r="J115" s="191">
        <v>0</v>
      </c>
      <c r="K115" s="176"/>
    </row>
    <row r="116" spans="2:11" ht="14.4" x14ac:dyDescent="0.3">
      <c r="B116" s="190">
        <v>22.4</v>
      </c>
      <c r="C116" s="227">
        <v>1676.7221183800623</v>
      </c>
      <c r="D116" s="226">
        <v>1843.5009345794392</v>
      </c>
      <c r="E116" s="226">
        <v>2010.2797507788159</v>
      </c>
      <c r="F116" s="226">
        <v>2177.0585669781931</v>
      </c>
      <c r="G116" s="226">
        <v>2343.8373831775698</v>
      </c>
      <c r="J116" s="192">
        <v>22.4</v>
      </c>
      <c r="K116" s="176"/>
    </row>
    <row r="117" spans="2:11" ht="14.4" x14ac:dyDescent="0.3">
      <c r="B117" s="190">
        <v>24.4</v>
      </c>
      <c r="C117" s="226">
        <v>1825.6317757009344</v>
      </c>
      <c r="D117" s="226">
        <v>2007.3015576323987</v>
      </c>
      <c r="E117" s="226">
        <v>2188.9713395638628</v>
      </c>
      <c r="F117" s="226">
        <v>2370.6411214953268</v>
      </c>
      <c r="G117" s="226">
        <v>2552.3109034267909</v>
      </c>
      <c r="J117" s="176"/>
      <c r="K117" s="176"/>
    </row>
    <row r="119" spans="2:11" ht="13.8" customHeight="1" x14ac:dyDescent="0.3">
      <c r="C119" s="193"/>
      <c r="D119" s="193"/>
      <c r="E119" s="193"/>
      <c r="F119" s="193"/>
      <c r="G119" s="193"/>
      <c r="H119" s="193"/>
      <c r="I119" s="193"/>
      <c r="J119" s="193"/>
      <c r="K119" s="193"/>
    </row>
    <row r="120" spans="2:11" x14ac:dyDescent="0.3">
      <c r="C120" s="193"/>
      <c r="D120" s="193"/>
      <c r="E120" s="193"/>
      <c r="F120" s="193"/>
      <c r="G120" s="193"/>
      <c r="H120" s="193"/>
      <c r="I120" s="193"/>
      <c r="J120" s="193"/>
      <c r="K120" s="193"/>
    </row>
    <row r="121" spans="2:11" x14ac:dyDescent="0.3">
      <c r="C121" s="193"/>
      <c r="D121" s="193"/>
      <c r="E121" s="193"/>
      <c r="F121" s="193"/>
      <c r="G121" s="193"/>
      <c r="H121" s="193"/>
      <c r="I121" s="193"/>
      <c r="J121" s="193"/>
      <c r="K121" s="193"/>
    </row>
    <row r="122" spans="2:11" x14ac:dyDescent="0.3">
      <c r="C122" s="193"/>
      <c r="D122" s="193"/>
      <c r="E122" s="193"/>
      <c r="F122" s="193"/>
      <c r="G122" s="193"/>
      <c r="H122" s="193"/>
      <c r="I122" s="193"/>
      <c r="J122" s="193"/>
      <c r="K122" s="193"/>
    </row>
    <row r="123" spans="2:11" x14ac:dyDescent="0.3">
      <c r="C123" s="193"/>
      <c r="D123" s="193"/>
      <c r="E123" s="193"/>
      <c r="F123" s="193"/>
      <c r="G123" s="193"/>
      <c r="H123" s="193"/>
      <c r="I123" s="193"/>
      <c r="J123" s="193"/>
      <c r="K123" s="193"/>
    </row>
    <row r="124" spans="2:11" x14ac:dyDescent="0.3">
      <c r="C124" s="193"/>
      <c r="D124" s="193"/>
      <c r="E124" s="193"/>
      <c r="F124" s="193"/>
      <c r="G124" s="193"/>
      <c r="H124" s="193"/>
      <c r="I124" s="193"/>
      <c r="J124" s="193"/>
      <c r="K124" s="193"/>
    </row>
    <row r="125" spans="2:11" x14ac:dyDescent="0.3">
      <c r="C125" s="194"/>
      <c r="D125" s="194"/>
      <c r="E125" s="194"/>
      <c r="F125" s="194"/>
      <c r="G125" s="194"/>
      <c r="H125" s="194"/>
      <c r="I125" s="194"/>
      <c r="J125" s="194"/>
      <c r="K125" s="194"/>
    </row>
  </sheetData>
  <sheetProtection algorithmName="SHA-512" hashValue="sJ0oQChfXsPfvy0ahfQj1SNJ7UA9lxwBxdryQstEQkws9E/hoYaPHr/jJWBSv5jt1SzOI1Tnyk+b7RfZKNdbMg==" saltValue="Cq5pPk5haKe2vRqvBuDCIw==" spinCount="100000" sheet="1" objects="1" scenarios="1"/>
  <mergeCells count="24">
    <mergeCell ref="B91:F91"/>
    <mergeCell ref="B30:C30"/>
    <mergeCell ref="F43:G43"/>
    <mergeCell ref="F44:G44"/>
    <mergeCell ref="B37:C37"/>
    <mergeCell ref="F39:G39"/>
    <mergeCell ref="F40:G40"/>
    <mergeCell ref="F41:G41"/>
    <mergeCell ref="F42:G42"/>
    <mergeCell ref="F16:G16"/>
    <mergeCell ref="F17:G17"/>
    <mergeCell ref="F19:G19"/>
    <mergeCell ref="B1:G1"/>
    <mergeCell ref="B2:G2"/>
    <mergeCell ref="F7:G7"/>
    <mergeCell ref="F8:G8"/>
    <mergeCell ref="F9:G9"/>
    <mergeCell ref="B4:G4"/>
    <mergeCell ref="F10:G10"/>
    <mergeCell ref="F11:G11"/>
    <mergeCell ref="F12:G12"/>
    <mergeCell ref="F13:G13"/>
    <mergeCell ref="F14:G14"/>
    <mergeCell ref="F15:G15"/>
  </mergeCells>
  <pageMargins left="0.75" right="0.75" top="1" bottom="1" header="0.511811023622047" footer="0.511811023622047"/>
  <pageSetup paperSize="9" fitToHeight="0" orientation="landscape" r:id="rId1"/>
  <rowBreaks count="3" manualBreakCount="3">
    <brk id="53" max="6" man="1"/>
    <brk id="79" max="6" man="1"/>
    <brk id="109" max="6" man="1"/>
  </rowBreaks>
  <colBreaks count="1" manualBreakCount="1">
    <brk id="7" max="1048575" man="1"/>
  </colBreaks>
  <ignoredErrors>
    <ignoredError sqref="C94:C98 C101" numberStoredAsText="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120"/>
  <sheetViews>
    <sheetView showGridLines="0" topLeftCell="A29" zoomScale="101" zoomScaleNormal="101" workbookViewId="0">
      <selection activeCell="K18" sqref="K18"/>
    </sheetView>
  </sheetViews>
  <sheetFormatPr defaultColWidth="8.6640625" defaultRowHeight="14.4" x14ac:dyDescent="0.3"/>
  <cols>
    <col min="1" max="1" width="2.33203125" style="1" customWidth="1"/>
    <col min="2" max="2" width="44.33203125" style="1" customWidth="1"/>
    <col min="3" max="3" width="13.33203125" style="1" customWidth="1"/>
    <col min="4" max="4" width="17.77734375" style="1" customWidth="1"/>
    <col min="5" max="5" width="14" style="1" customWidth="1"/>
    <col min="6" max="6" width="11.21875" style="1" customWidth="1"/>
    <col min="7" max="8" width="14" style="1" customWidth="1"/>
    <col min="9" max="9" width="16.21875" style="1" customWidth="1"/>
    <col min="10" max="10" width="11.77734375" style="1" customWidth="1"/>
    <col min="11" max="16384" width="8.6640625" style="1"/>
  </cols>
  <sheetData>
    <row r="1" spans="1:13" ht="23.4" x14ac:dyDescent="0.3">
      <c r="B1" s="280" t="s">
        <v>180</v>
      </c>
      <c r="C1" s="281"/>
      <c r="D1" s="281"/>
      <c r="E1" s="281"/>
      <c r="F1" s="281"/>
      <c r="G1" s="281"/>
      <c r="H1" s="281"/>
      <c r="I1" s="281"/>
      <c r="J1" s="281"/>
    </row>
    <row r="2" spans="1:13" ht="15" customHeight="1" x14ac:dyDescent="0.3">
      <c r="B2" s="282" t="s">
        <v>181</v>
      </c>
      <c r="C2" s="283"/>
      <c r="D2" s="283"/>
      <c r="E2" s="283"/>
      <c r="F2" s="283"/>
      <c r="G2" s="283"/>
      <c r="H2" s="283"/>
      <c r="I2" s="283"/>
      <c r="J2" s="283"/>
    </row>
    <row r="4" spans="1:13" ht="18.600000000000001" thickBot="1" x14ac:dyDescent="0.35">
      <c r="A4" s="1" t="s">
        <v>286</v>
      </c>
      <c r="B4" s="228" t="s">
        <v>182</v>
      </c>
      <c r="C4" s="55"/>
      <c r="D4" s="55"/>
      <c r="E4" s="55"/>
      <c r="G4" s="277" t="s">
        <v>183</v>
      </c>
      <c r="H4" s="277"/>
      <c r="I4" s="277"/>
      <c r="J4" s="277"/>
    </row>
    <row r="5" spans="1:13" ht="15" customHeight="1" x14ac:dyDescent="0.3">
      <c r="B5" s="229" t="s">
        <v>184</v>
      </c>
      <c r="C5" s="287" t="s">
        <v>185</v>
      </c>
      <c r="D5" s="287"/>
      <c r="E5" s="287"/>
      <c r="F5" s="2"/>
      <c r="G5" s="230"/>
      <c r="H5" s="16" t="s">
        <v>186</v>
      </c>
      <c r="I5" s="16" t="s">
        <v>187</v>
      </c>
      <c r="J5" s="16" t="s">
        <v>188</v>
      </c>
    </row>
    <row r="6" spans="1:13" ht="15" customHeight="1" x14ac:dyDescent="0.3">
      <c r="B6" s="229" t="s">
        <v>189</v>
      </c>
      <c r="C6" s="287" t="s">
        <v>190</v>
      </c>
      <c r="D6" s="287"/>
      <c r="E6" s="287"/>
      <c r="F6" s="2"/>
      <c r="G6" s="29" t="s">
        <v>35</v>
      </c>
      <c r="H6" s="244">
        <f>'Standalone Torrent'!E6</f>
        <v>11516</v>
      </c>
      <c r="I6" s="244">
        <f>'Standalone JBChem'!E6</f>
        <v>3918</v>
      </c>
      <c r="J6" s="246">
        <f>H6+I6</f>
        <v>15434</v>
      </c>
    </row>
    <row r="7" spans="1:13" ht="15" customHeight="1" x14ac:dyDescent="0.3">
      <c r="B7" s="229" t="s">
        <v>191</v>
      </c>
      <c r="C7" s="287" t="s">
        <v>192</v>
      </c>
      <c r="D7" s="287"/>
      <c r="E7" s="287"/>
      <c r="F7" s="2"/>
      <c r="G7" s="29" t="s">
        <v>39</v>
      </c>
      <c r="H7" s="244">
        <f>'Standalone Torrent'!E8</f>
        <v>3721</v>
      </c>
      <c r="I7" s="244">
        <f>'Standalone JBChem'!E10</f>
        <v>1087</v>
      </c>
      <c r="J7" s="246">
        <f>H7+I7</f>
        <v>4808</v>
      </c>
    </row>
    <row r="8" spans="1:13" ht="15" customHeight="1" x14ac:dyDescent="0.3">
      <c r="B8" s="229" t="s">
        <v>193</v>
      </c>
      <c r="C8" s="287" t="s">
        <v>194</v>
      </c>
      <c r="D8" s="287"/>
      <c r="E8" s="287"/>
      <c r="F8" s="2"/>
      <c r="G8" s="29" t="s">
        <v>396</v>
      </c>
      <c r="H8" s="245">
        <f>'Standalone Torrent'!E9</f>
        <v>0.32300000000000001</v>
      </c>
      <c r="I8" s="245">
        <f>'Standalone JBChem'!E11</f>
        <v>0.27743746809596731</v>
      </c>
      <c r="J8" s="247">
        <f>J7/J6</f>
        <v>0.31152002073344565</v>
      </c>
    </row>
    <row r="9" spans="1:13" ht="15" customHeight="1" x14ac:dyDescent="0.3">
      <c r="B9" s="229" t="s">
        <v>195</v>
      </c>
      <c r="C9" s="287" t="s">
        <v>196</v>
      </c>
      <c r="D9" s="287"/>
      <c r="E9" s="287"/>
      <c r="F9" s="2"/>
      <c r="G9" s="29" t="s">
        <v>47</v>
      </c>
      <c r="H9" s="244">
        <f>'Standalone Torrent'!E16</f>
        <v>1911.1950000000002</v>
      </c>
      <c r="I9" s="244">
        <f>'Standalone JBChem'!E18</f>
        <v>698.02199999999993</v>
      </c>
      <c r="J9" s="248">
        <f>(H9+I9)-((Assumptions!C55*(1-Assumptions!F32)))</f>
        <v>1915.7170000000001</v>
      </c>
    </row>
    <row r="10" spans="1:13" ht="15" customHeight="1" x14ac:dyDescent="0.3">
      <c r="B10" s="229" t="s">
        <v>197</v>
      </c>
      <c r="C10" s="287" t="s">
        <v>198</v>
      </c>
      <c r="D10" s="287"/>
      <c r="E10" s="287"/>
      <c r="F10" s="2"/>
      <c r="G10" s="29" t="s">
        <v>199</v>
      </c>
      <c r="H10" s="244">
        <f>'Standalone Torrent'!E17</f>
        <v>56.47</v>
      </c>
      <c r="I10" s="244">
        <f>'Standalone JBChem'!E20</f>
        <v>42.37</v>
      </c>
      <c r="J10" s="248">
        <f>J9/'Deal Mechanics'!C51</f>
        <v>50.535697513520397</v>
      </c>
    </row>
    <row r="11" spans="1:13" ht="15" customHeight="1" x14ac:dyDescent="0.3">
      <c r="B11" s="229" t="s">
        <v>200</v>
      </c>
      <c r="C11" s="287" t="s">
        <v>201</v>
      </c>
      <c r="D11" s="287"/>
      <c r="E11" s="287"/>
      <c r="F11" s="2"/>
      <c r="G11" s="29" t="s">
        <v>397</v>
      </c>
      <c r="H11" s="231">
        <v>2245.54</v>
      </c>
      <c r="I11" s="231">
        <v>-143.39000000000001</v>
      </c>
      <c r="J11" s="248">
        <f>H11+I11+Assumptions!C53</f>
        <v>14602.15</v>
      </c>
    </row>
    <row r="12" spans="1:13" ht="15" customHeight="1" x14ac:dyDescent="0.3">
      <c r="B12" s="229" t="s">
        <v>202</v>
      </c>
      <c r="C12" s="287" t="s">
        <v>203</v>
      </c>
      <c r="D12" s="287"/>
      <c r="E12" s="287"/>
      <c r="F12" s="2"/>
      <c r="G12" s="29" t="s">
        <v>398</v>
      </c>
      <c r="H12" s="231">
        <v>150000</v>
      </c>
      <c r="I12" s="231">
        <v>35000</v>
      </c>
      <c r="J12" s="248">
        <f>H12+I12</f>
        <v>185000</v>
      </c>
    </row>
    <row r="13" spans="1:13" ht="15" customHeight="1" x14ac:dyDescent="0.3">
      <c r="B13" s="229" t="s">
        <v>204</v>
      </c>
      <c r="C13" s="287" t="s">
        <v>205</v>
      </c>
      <c r="D13" s="287"/>
      <c r="E13" s="287"/>
      <c r="F13" s="2"/>
      <c r="G13" s="29" t="s">
        <v>206</v>
      </c>
      <c r="H13" s="232">
        <v>7</v>
      </c>
      <c r="I13" s="233" t="s">
        <v>78</v>
      </c>
      <c r="J13" s="40" t="s">
        <v>207</v>
      </c>
    </row>
    <row r="14" spans="1:13" ht="15" customHeight="1" x14ac:dyDescent="0.3">
      <c r="B14" s="229" t="s">
        <v>208</v>
      </c>
      <c r="C14" s="287" t="s">
        <v>209</v>
      </c>
      <c r="D14" s="287"/>
      <c r="E14" s="287"/>
      <c r="F14" s="2"/>
    </row>
    <row r="16" spans="1:13" x14ac:dyDescent="0.3">
      <c r="M16" s="234"/>
    </row>
    <row r="17" spans="1:9" ht="15" customHeight="1" x14ac:dyDescent="0.3">
      <c r="A17" s="1" t="s">
        <v>286</v>
      </c>
      <c r="B17" s="288" t="s">
        <v>210</v>
      </c>
      <c r="C17" s="288"/>
      <c r="D17" s="288"/>
      <c r="E17" s="288"/>
      <c r="F17" s="288"/>
      <c r="G17" s="288"/>
      <c r="H17" s="288"/>
    </row>
    <row r="18" spans="1:9" ht="30" customHeight="1" x14ac:dyDescent="0.3">
      <c r="B18" s="235" t="s">
        <v>211</v>
      </c>
      <c r="C18" s="235" t="s">
        <v>212</v>
      </c>
      <c r="D18" s="235" t="s">
        <v>213</v>
      </c>
      <c r="E18" s="235" t="s">
        <v>214</v>
      </c>
      <c r="F18" s="236" t="s">
        <v>215</v>
      </c>
      <c r="G18" s="236" t="s">
        <v>216</v>
      </c>
      <c r="H18" s="236" t="s">
        <v>217</v>
      </c>
      <c r="I18" s="237" t="s">
        <v>283</v>
      </c>
    </row>
    <row r="19" spans="1:9" ht="15" customHeight="1" x14ac:dyDescent="0.3">
      <c r="B19" s="238" t="s">
        <v>218</v>
      </c>
      <c r="C19" s="89">
        <f>F19*Assumptions!$C$47</f>
        <v>22149</v>
      </c>
      <c r="D19" s="249">
        <f>AVERAGE(C19,E19)</f>
        <v>27525.75</v>
      </c>
      <c r="E19" s="89">
        <f>G19*Assumptions!$C$47</f>
        <v>32902.5</v>
      </c>
      <c r="F19" s="45">
        <v>1380</v>
      </c>
      <c r="G19" s="45">
        <v>2050</v>
      </c>
      <c r="H19" s="47">
        <f>Assumptions!$C$48</f>
        <v>1600</v>
      </c>
      <c r="I19" s="250">
        <f>E19-C19</f>
        <v>10753.5</v>
      </c>
    </row>
    <row r="20" spans="1:9" ht="15" customHeight="1" x14ac:dyDescent="0.3">
      <c r="B20" s="238" t="s">
        <v>263</v>
      </c>
      <c r="C20" s="89">
        <f>F20*Assumptions!$C$47</f>
        <v>23750.323987314023</v>
      </c>
      <c r="D20" s="89">
        <f>AVERAGE(E20,C20)</f>
        <v>24375.584822586476</v>
      </c>
      <c r="E20" s="89">
        <f>G20*Assumptions!$C$47</f>
        <v>25000.845657858925</v>
      </c>
      <c r="F20" s="89">
        <f>Valuation!C52</f>
        <v>1479.7709649416836</v>
      </c>
      <c r="G20" s="89">
        <f>Valuation!D52</f>
        <v>1557.6850877170668</v>
      </c>
      <c r="H20" s="47">
        <f>Assumptions!$C$48</f>
        <v>1600</v>
      </c>
      <c r="I20" s="250">
        <f t="shared" ref="I20:I29" si="0">E20-C20</f>
        <v>1250.521670544902</v>
      </c>
    </row>
    <row r="21" spans="1:9" ht="15" customHeight="1" x14ac:dyDescent="0.3">
      <c r="B21" s="238" t="s">
        <v>261</v>
      </c>
      <c r="C21" s="89">
        <f>F21*Assumptions!$C$47</f>
        <v>25806.998983468242</v>
      </c>
      <c r="D21" s="251">
        <f>AVERAGE(C21,E21)</f>
        <v>27101.148657445017</v>
      </c>
      <c r="E21" s="89">
        <f>G21*Assumptions!$C$47</f>
        <v>28395.298331421789</v>
      </c>
      <c r="F21" s="89">
        <f>Valuation!D51</f>
        <v>1607.9127092503577</v>
      </c>
      <c r="G21" s="89">
        <f>Valuation!F51</f>
        <v>1769.1774661321986</v>
      </c>
      <c r="H21" s="47">
        <f>Assumptions!$C$48</f>
        <v>1600</v>
      </c>
      <c r="I21" s="250">
        <f t="shared" si="0"/>
        <v>2588.2993479535471</v>
      </c>
    </row>
    <row r="22" spans="1:9" ht="15" customHeight="1" x14ac:dyDescent="0.3">
      <c r="B22" s="238" t="s">
        <v>267</v>
      </c>
      <c r="C22" s="89">
        <f>F22*Assumptions!$C$47</f>
        <v>29671.68387372185</v>
      </c>
      <c r="D22" s="252">
        <f t="shared" ref="D22:D28" si="1">AVERAGE(C22,E22)</f>
        <v>30349.953587797398</v>
      </c>
      <c r="E22" s="89">
        <f>G22*Assumptions!$C$47</f>
        <v>31028.223301872949</v>
      </c>
      <c r="F22" s="89">
        <f>Valuation!F49</f>
        <v>1848.7030450917039</v>
      </c>
      <c r="G22" s="89">
        <f>Valuation!G49</f>
        <v>1933.2226356307133</v>
      </c>
      <c r="H22" s="47">
        <f>Assumptions!$C$48</f>
        <v>1600</v>
      </c>
      <c r="I22" s="250">
        <f t="shared" si="0"/>
        <v>1356.5394281510999</v>
      </c>
    </row>
    <row r="23" spans="1:9" ht="15" customHeight="1" x14ac:dyDescent="0.3">
      <c r="B23" s="238" t="s">
        <v>264</v>
      </c>
      <c r="C23" s="89">
        <f>F23*Assumptions!$C$47</f>
        <v>24014.39</v>
      </c>
      <c r="D23" s="252">
        <f t="shared" si="1"/>
        <v>25104.39</v>
      </c>
      <c r="E23" s="89">
        <f>G23*Assumptions!$C$47</f>
        <v>26194.39</v>
      </c>
      <c r="F23" s="89">
        <f>Valuation!C84</f>
        <v>1496.2236760124611</v>
      </c>
      <c r="G23" s="89">
        <f>Valuation!E84</f>
        <v>1632.0492211838005</v>
      </c>
      <c r="H23" s="47">
        <f>Assumptions!$C$48</f>
        <v>1600</v>
      </c>
      <c r="I23" s="250">
        <f t="shared" si="0"/>
        <v>2180</v>
      </c>
    </row>
    <row r="24" spans="1:9" ht="15" customHeight="1" x14ac:dyDescent="0.3">
      <c r="B24" s="238" t="s">
        <v>265</v>
      </c>
      <c r="C24" s="89">
        <f>F24*Assumptions!$C$47</f>
        <v>27349.146070640178</v>
      </c>
      <c r="D24" s="251">
        <f t="shared" si="1"/>
        <v>28537.170353200883</v>
      </c>
      <c r="E24" s="89">
        <f>G24*Assumptions!$C$47</f>
        <v>29725.194635761589</v>
      </c>
      <c r="F24" s="89">
        <f>Valuation!D86</f>
        <v>1703.9966399152759</v>
      </c>
      <c r="G24" s="89">
        <f>Valuation!F86</f>
        <v>1852.0370489571083</v>
      </c>
      <c r="H24" s="47">
        <f>Assumptions!$C$48</f>
        <v>1600</v>
      </c>
      <c r="I24" s="250">
        <f t="shared" si="0"/>
        <v>2376.0485651214112</v>
      </c>
    </row>
    <row r="25" spans="1:9" ht="15" customHeight="1" x14ac:dyDescent="0.3">
      <c r="B25" s="238" t="s">
        <v>266</v>
      </c>
      <c r="C25" s="89">
        <f>F25*Assumptions!$C$47</f>
        <v>29779.39</v>
      </c>
      <c r="D25" s="252">
        <f t="shared" si="1"/>
        <v>31019.39</v>
      </c>
      <c r="E25" s="89">
        <f>G25*Assumptions!$C$47</f>
        <v>32259.39</v>
      </c>
      <c r="F25" s="252">
        <f>Valuation!E87</f>
        <v>1855.4137071651089</v>
      </c>
      <c r="G25" s="252">
        <f>Valuation!G87</f>
        <v>2009.9308411214952</v>
      </c>
      <c r="H25" s="47">
        <f>Assumptions!$C$48</f>
        <v>1600</v>
      </c>
      <c r="I25" s="250">
        <f t="shared" si="0"/>
        <v>2480</v>
      </c>
    </row>
    <row r="26" spans="1:9" ht="15" customHeight="1" x14ac:dyDescent="0.3">
      <c r="B26" s="238" t="s">
        <v>268</v>
      </c>
      <c r="C26" s="89">
        <f>F26*Assumptions!$C$47</f>
        <v>24521.39</v>
      </c>
      <c r="D26" s="252">
        <f>AVERAGE(C26,E26)</f>
        <v>25740.29</v>
      </c>
      <c r="E26" s="89">
        <f>G26*Assumptions!$C$47</f>
        <v>26959.190000000002</v>
      </c>
      <c r="F26" s="89">
        <f>Valuation!C114</f>
        <v>1527.8124610591899</v>
      </c>
      <c r="G26" s="89">
        <f>Valuation!D114</f>
        <v>1679.7003115264797</v>
      </c>
      <c r="H26" s="47">
        <f>Assumptions!$C$48</f>
        <v>1600</v>
      </c>
      <c r="I26" s="250">
        <f t="shared" si="0"/>
        <v>2437.8000000000029</v>
      </c>
    </row>
    <row r="27" spans="1:9" ht="15" customHeight="1" x14ac:dyDescent="0.3">
      <c r="B27" s="238" t="s">
        <v>269</v>
      </c>
      <c r="C27" s="89">
        <f>F27*Assumptions!$C$47</f>
        <v>25716.39</v>
      </c>
      <c r="D27" s="253">
        <f t="shared" si="1"/>
        <v>26995.040000000001</v>
      </c>
      <c r="E27" s="89">
        <f>G27*Assumptions!$C$47</f>
        <v>28273.690000000002</v>
      </c>
      <c r="F27" s="89">
        <f>Valuation!C115</f>
        <v>1602.267289719626</v>
      </c>
      <c r="G27" s="89">
        <f>Valuation!D115</f>
        <v>1761.6006230529595</v>
      </c>
      <c r="H27" s="47">
        <f>Assumptions!$C$48</f>
        <v>1600</v>
      </c>
      <c r="I27" s="250">
        <f t="shared" si="0"/>
        <v>2557.3000000000029</v>
      </c>
    </row>
    <row r="28" spans="1:9" ht="15" customHeight="1" x14ac:dyDescent="0.3">
      <c r="B28" s="238" t="s">
        <v>270</v>
      </c>
      <c r="C28" s="89">
        <f>F28*Assumptions!$C$47</f>
        <v>34941.79</v>
      </c>
      <c r="D28" s="252">
        <f t="shared" si="1"/>
        <v>37953.19</v>
      </c>
      <c r="E28" s="89">
        <f>G28*Assumptions!$C$47</f>
        <v>40964.589999999997</v>
      </c>
      <c r="F28" s="89">
        <f>Valuation!F116</f>
        <v>2177.0585669781931</v>
      </c>
      <c r="G28" s="89">
        <f>Valuation!G117</f>
        <v>2552.3109034267909</v>
      </c>
      <c r="H28" s="47">
        <f>Assumptions!$C$48</f>
        <v>1600</v>
      </c>
      <c r="I28" s="250">
        <f t="shared" si="0"/>
        <v>6022.7999999999956</v>
      </c>
    </row>
    <row r="29" spans="1:9" ht="15" customHeight="1" x14ac:dyDescent="0.3">
      <c r="B29" s="239" t="s">
        <v>219</v>
      </c>
      <c r="C29" s="254">
        <f>'Deal Mechanics'!C35</f>
        <v>25680</v>
      </c>
      <c r="D29" s="254">
        <f>C29</f>
        <v>25680</v>
      </c>
      <c r="E29" s="254">
        <f>D29</f>
        <v>25680</v>
      </c>
      <c r="F29" s="254">
        <f>Assumptions!C48</f>
        <v>1600</v>
      </c>
      <c r="G29" s="254">
        <f>Assumptions!C49</f>
        <v>1639.18</v>
      </c>
      <c r="H29" s="254">
        <f>Assumptions!C48</f>
        <v>1600</v>
      </c>
      <c r="I29" s="250">
        <f t="shared" si="0"/>
        <v>0</v>
      </c>
    </row>
    <row r="30" spans="1:9" ht="15" customHeight="1" x14ac:dyDescent="0.3"/>
    <row r="31" spans="1:9" ht="15" customHeight="1" x14ac:dyDescent="0.3">
      <c r="A31" s="1" t="s">
        <v>286</v>
      </c>
    </row>
    <row r="32" spans="1:9" ht="15" customHeight="1" x14ac:dyDescent="0.3"/>
    <row r="33" s="1" customFormat="1" ht="15" customHeight="1" x14ac:dyDescent="0.3"/>
    <row r="34" s="1" customFormat="1" ht="15" customHeight="1" x14ac:dyDescent="0.3"/>
    <row r="35" s="1" customFormat="1" ht="15" customHeight="1" x14ac:dyDescent="0.3"/>
    <row r="36" s="1" customFormat="1" ht="15" customHeight="1" x14ac:dyDescent="0.3"/>
    <row r="37" s="1" customFormat="1" ht="15" customHeight="1" x14ac:dyDescent="0.3"/>
    <row r="38" s="1" customFormat="1" ht="15" customHeight="1" x14ac:dyDescent="0.3"/>
    <row r="39" s="1" customFormat="1" ht="15" customHeight="1" x14ac:dyDescent="0.3"/>
    <row r="40" s="1" customFormat="1" ht="15" customHeight="1" x14ac:dyDescent="0.3"/>
    <row r="41" s="1" customFormat="1" ht="15" customHeight="1" x14ac:dyDescent="0.3"/>
    <row r="42" s="1" customFormat="1" ht="15" customHeight="1" x14ac:dyDescent="0.3"/>
    <row r="43" s="1" customFormat="1" ht="15" customHeight="1" x14ac:dyDescent="0.3"/>
    <row r="44" s="1" customFormat="1" ht="15" customHeight="1" x14ac:dyDescent="0.3"/>
    <row r="45" s="1" customFormat="1" ht="15" customHeight="1" x14ac:dyDescent="0.3"/>
    <row r="46" s="1" customFormat="1" ht="15" customHeight="1" x14ac:dyDescent="0.3"/>
    <row r="47" s="1" customFormat="1" ht="15" customHeight="1" x14ac:dyDescent="0.3"/>
    <row r="48" s="1" customFormat="1" ht="15" customHeight="1" x14ac:dyDescent="0.3"/>
    <row r="49" spans="1:8" ht="15" customHeight="1" x14ac:dyDescent="0.3"/>
    <row r="50" spans="1:8" ht="15" customHeight="1" x14ac:dyDescent="0.3"/>
    <row r="56" spans="1:8" ht="11.4" customHeight="1" x14ac:dyDescent="0.3">
      <c r="B56" s="284" t="s">
        <v>284</v>
      </c>
      <c r="C56" s="284"/>
      <c r="D56" s="284"/>
      <c r="E56" s="284"/>
      <c r="F56" s="284"/>
      <c r="G56" s="284"/>
      <c r="H56" s="284"/>
    </row>
    <row r="57" spans="1:8" ht="11.4" customHeight="1" x14ac:dyDescent="0.3">
      <c r="B57" s="284"/>
      <c r="C57" s="284"/>
      <c r="D57" s="284"/>
      <c r="E57" s="284"/>
      <c r="F57" s="284"/>
      <c r="G57" s="284"/>
      <c r="H57" s="284"/>
    </row>
    <row r="58" spans="1:8" ht="11.4" customHeight="1" x14ac:dyDescent="0.3">
      <c r="B58" s="284"/>
      <c r="C58" s="284"/>
      <c r="D58" s="284"/>
      <c r="E58" s="284"/>
      <c r="F58" s="284"/>
      <c r="G58" s="284"/>
      <c r="H58" s="284"/>
    </row>
    <row r="59" spans="1:8" ht="14.4" customHeight="1" x14ac:dyDescent="0.3">
      <c r="B59" s="284"/>
      <c r="C59" s="284"/>
      <c r="D59" s="284"/>
      <c r="E59" s="284"/>
      <c r="F59" s="284"/>
      <c r="G59" s="284"/>
      <c r="H59" s="284"/>
    </row>
    <row r="60" spans="1:8" ht="21" customHeight="1" x14ac:dyDescent="0.3">
      <c r="B60" s="284"/>
      <c r="C60" s="284"/>
      <c r="D60" s="284"/>
      <c r="E60" s="284"/>
      <c r="F60" s="284"/>
      <c r="G60" s="284"/>
      <c r="H60" s="284"/>
    </row>
    <row r="61" spans="1:8" ht="11.4" customHeight="1" x14ac:dyDescent="0.3"/>
    <row r="62" spans="1:8" ht="11.4" customHeight="1" x14ac:dyDescent="0.3"/>
    <row r="64" spans="1:8" ht="15" thickBot="1" x14ac:dyDescent="0.35">
      <c r="A64" s="1" t="s">
        <v>286</v>
      </c>
      <c r="B64" s="271" t="s">
        <v>220</v>
      </c>
      <c r="C64" s="271"/>
      <c r="D64" s="271"/>
      <c r="E64" s="271"/>
      <c r="F64" s="271"/>
      <c r="G64" s="271"/>
      <c r="H64" s="271"/>
    </row>
    <row r="65" spans="2:8" x14ac:dyDescent="0.3">
      <c r="B65" s="240" t="s">
        <v>1</v>
      </c>
      <c r="C65" s="240" t="s">
        <v>4</v>
      </c>
      <c r="D65" s="240" t="s">
        <v>5</v>
      </c>
      <c r="E65" s="240" t="s">
        <v>6</v>
      </c>
      <c r="F65" s="240" t="s">
        <v>7</v>
      </c>
      <c r="G65" s="240" t="s">
        <v>8</v>
      </c>
      <c r="H65" s="240" t="s">
        <v>9</v>
      </c>
    </row>
    <row r="66" spans="2:8" x14ac:dyDescent="0.3">
      <c r="B66" s="18" t="s">
        <v>221</v>
      </c>
      <c r="C66" s="255">
        <f>J6</f>
        <v>15434</v>
      </c>
      <c r="D66" s="252">
        <f>'ProForma Combined'!C9</f>
        <v>17424.272000000001</v>
      </c>
      <c r="E66" s="252">
        <f>'ProForma Combined'!D9</f>
        <v>19559.066240000004</v>
      </c>
      <c r="F66" s="252">
        <f>'ProForma Combined'!E9</f>
        <v>22030.740396800007</v>
      </c>
      <c r="G66" s="252">
        <f>'ProForma Combined'!F9</f>
        <v>24525.87184044801</v>
      </c>
      <c r="H66" s="252">
        <f>'ProForma Combined'!G9</f>
        <v>26740.689917927688</v>
      </c>
    </row>
    <row r="67" spans="2:8" x14ac:dyDescent="0.3">
      <c r="B67" s="18" t="s">
        <v>222</v>
      </c>
      <c r="C67" s="255">
        <f>J7</f>
        <v>4808</v>
      </c>
      <c r="D67" s="256">
        <f>'ProForma Combined'!C16</f>
        <v>5539.506448000001</v>
      </c>
      <c r="E67" s="256">
        <f>'ProForma Combined'!D16</f>
        <v>6234.9483635200013</v>
      </c>
      <c r="F67" s="256">
        <f>'ProForma Combined'!E16</f>
        <v>7211.0433727680029</v>
      </c>
      <c r="G67" s="256">
        <f>'ProForma Combined'!F16</f>
        <v>8195.4194855228197</v>
      </c>
      <c r="H67" s="256">
        <f>'ProForma Combined'!G16</f>
        <v>8986.0839929569665</v>
      </c>
    </row>
    <row r="68" spans="2:8" x14ac:dyDescent="0.3">
      <c r="B68" s="18" t="s">
        <v>223</v>
      </c>
      <c r="C68" s="255">
        <f>J9</f>
        <v>1915.7170000000001</v>
      </c>
      <c r="D68" s="256">
        <f>'ProForma Combined'!C27</f>
        <v>1568.0107649600009</v>
      </c>
      <c r="E68" s="256">
        <f>'ProForma Combined'!D27</f>
        <v>2052.8012051712008</v>
      </c>
      <c r="F68" s="256">
        <f>'ProForma Combined'!E27</f>
        <v>2774.4712472508177</v>
      </c>
      <c r="G68" s="256">
        <f>'ProForma Combined'!F27</f>
        <v>3550.8537137789895</v>
      </c>
      <c r="H68" s="256">
        <f>'ProForma Combined'!G27</f>
        <v>4205.2359758872517</v>
      </c>
    </row>
    <row r="88" spans="1:7" ht="15" customHeight="1" x14ac:dyDescent="0.3">
      <c r="A88" s="1" t="s">
        <v>286</v>
      </c>
      <c r="B88" s="240" t="s">
        <v>199</v>
      </c>
      <c r="C88" s="240" t="s">
        <v>5</v>
      </c>
      <c r="D88" s="240" t="s">
        <v>6</v>
      </c>
      <c r="E88" s="240" t="s">
        <v>7</v>
      </c>
      <c r="F88" s="240" t="s">
        <v>8</v>
      </c>
      <c r="G88" s="240" t="s">
        <v>9</v>
      </c>
    </row>
    <row r="89" spans="1:7" ht="15" customHeight="1" x14ac:dyDescent="0.3">
      <c r="B89" s="18" t="s">
        <v>224</v>
      </c>
      <c r="C89" s="256">
        <f>'Accretion Dilution'!C19</f>
        <v>50.746761801418444</v>
      </c>
      <c r="D89" s="256">
        <f>'Accretion Dilution'!D19</f>
        <v>62.639317244066213</v>
      </c>
      <c r="E89" s="256">
        <f>'Accretion Dilution'!E19</f>
        <v>76.555561689690819</v>
      </c>
      <c r="F89" s="256">
        <f>'Accretion Dilution'!F19</f>
        <v>92.482769502699441</v>
      </c>
      <c r="G89" s="256">
        <f>'Accretion Dilution'!G19</f>
        <v>106.6997721911811</v>
      </c>
    </row>
    <row r="90" spans="1:7" ht="15" customHeight="1" x14ac:dyDescent="0.3">
      <c r="B90" s="18" t="s">
        <v>225</v>
      </c>
      <c r="C90" s="256">
        <f>'Accretion Dilution'!C20</f>
        <v>40.971564144833224</v>
      </c>
      <c r="D90" s="256">
        <f>'Accretion Dilution'!D20</f>
        <v>53.659799448686471</v>
      </c>
      <c r="E90" s="256">
        <f>'Accretion Dilution'!E20</f>
        <v>74.125925503546057</v>
      </c>
      <c r="F90" s="256">
        <f>'Accretion Dilution'!F20</f>
        <v>96.106266689420067</v>
      </c>
      <c r="G90" s="256">
        <f>'Accretion Dilution'!G20</f>
        <v>114.29222119122004</v>
      </c>
    </row>
    <row r="91" spans="1:7" ht="15" customHeight="1" x14ac:dyDescent="0.3">
      <c r="B91" s="18" t="s">
        <v>285</v>
      </c>
      <c r="C91" s="257">
        <f>C90/C89-1</f>
        <v>-0.19262702307661317</v>
      </c>
      <c r="D91" s="257">
        <f t="shared" ref="D91:G91" si="2">D90/D89-1</f>
        <v>-0.14335274058611114</v>
      </c>
      <c r="E91" s="257">
        <f t="shared" si="2"/>
        <v>-3.1736899743391778E-2</v>
      </c>
      <c r="F91" s="257">
        <f t="shared" si="2"/>
        <v>3.9180240883842199E-2</v>
      </c>
      <c r="G91" s="257">
        <f t="shared" si="2"/>
        <v>7.115712474470004E-2</v>
      </c>
    </row>
    <row r="92" spans="1:7" ht="15" customHeight="1" x14ac:dyDescent="0.3"/>
    <row r="93" spans="1:7" ht="15" customHeight="1" x14ac:dyDescent="0.3"/>
    <row r="94" spans="1:7" ht="15" customHeight="1" x14ac:dyDescent="0.3"/>
    <row r="95" spans="1:7" ht="15" customHeight="1" x14ac:dyDescent="0.3"/>
    <row r="96" spans="1:7" ht="15" customHeight="1" x14ac:dyDescent="0.3"/>
    <row r="97" spans="1:10" ht="15" customHeight="1" x14ac:dyDescent="0.3"/>
    <row r="98" spans="1:10" ht="15" customHeight="1" x14ac:dyDescent="0.3"/>
    <row r="99" spans="1:10" ht="15" customHeight="1" x14ac:dyDescent="0.3"/>
    <row r="100" spans="1:10" ht="15" customHeight="1" x14ac:dyDescent="0.3"/>
    <row r="101" spans="1:10" ht="15" customHeight="1" x14ac:dyDescent="0.3"/>
    <row r="102" spans="1:10" ht="15" customHeight="1" x14ac:dyDescent="0.3"/>
    <row r="103" spans="1:10" ht="15" customHeight="1" x14ac:dyDescent="0.3"/>
    <row r="104" spans="1:10" ht="15" customHeight="1" x14ac:dyDescent="0.3"/>
    <row r="105" spans="1:10" ht="15" customHeight="1" x14ac:dyDescent="0.3"/>
    <row r="106" spans="1:10" ht="15" customHeight="1" x14ac:dyDescent="0.3"/>
    <row r="107" spans="1:10" ht="15" customHeight="1" x14ac:dyDescent="0.3"/>
    <row r="108" spans="1:10" ht="15" customHeight="1" x14ac:dyDescent="0.3"/>
    <row r="109" spans="1:10" ht="15" customHeight="1" x14ac:dyDescent="0.3"/>
    <row r="111" spans="1:10" ht="15" customHeight="1" x14ac:dyDescent="0.3">
      <c r="A111" s="1" t="s">
        <v>286</v>
      </c>
      <c r="B111" s="288" t="s">
        <v>226</v>
      </c>
      <c r="C111" s="288"/>
      <c r="D111" s="288"/>
      <c r="E111" s="288"/>
      <c r="F111" s="288"/>
      <c r="G111" s="288"/>
      <c r="H111" s="288"/>
      <c r="I111" s="288"/>
      <c r="J111" s="288"/>
    </row>
    <row r="112" spans="1:10" ht="67.8" customHeight="1" x14ac:dyDescent="0.3">
      <c r="B112" s="241" t="s">
        <v>287</v>
      </c>
      <c r="C112" s="278" t="s">
        <v>288</v>
      </c>
      <c r="D112" s="278"/>
      <c r="E112" s="278"/>
      <c r="F112" s="278"/>
      <c r="G112" s="278"/>
      <c r="H112" s="278"/>
      <c r="I112" s="278"/>
      <c r="J112" s="278"/>
    </row>
    <row r="113" spans="2:10" ht="64.8" customHeight="1" x14ac:dyDescent="0.3">
      <c r="B113" s="241" t="s">
        <v>289</v>
      </c>
      <c r="C113" s="278" t="s">
        <v>290</v>
      </c>
      <c r="D113" s="278"/>
      <c r="E113" s="278"/>
      <c r="F113" s="278"/>
      <c r="G113" s="278"/>
      <c r="H113" s="278"/>
      <c r="I113" s="278"/>
      <c r="J113" s="278"/>
    </row>
    <row r="114" spans="2:10" ht="74.400000000000006" customHeight="1" x14ac:dyDescent="0.3">
      <c r="B114" s="241" t="s">
        <v>291</v>
      </c>
      <c r="C114" s="278" t="s">
        <v>292</v>
      </c>
      <c r="D114" s="278"/>
      <c r="E114" s="278"/>
      <c r="F114" s="278"/>
      <c r="G114" s="278"/>
      <c r="H114" s="278"/>
      <c r="I114" s="278"/>
      <c r="J114" s="278"/>
    </row>
    <row r="115" spans="2:10" ht="74.400000000000006" customHeight="1" x14ac:dyDescent="0.3">
      <c r="B115" s="241" t="s">
        <v>294</v>
      </c>
      <c r="C115" s="278" t="s">
        <v>293</v>
      </c>
      <c r="D115" s="278"/>
      <c r="E115" s="278"/>
      <c r="F115" s="278"/>
      <c r="G115" s="278"/>
      <c r="H115" s="278"/>
      <c r="I115" s="278"/>
      <c r="J115" s="278"/>
    </row>
    <row r="116" spans="2:10" ht="79.2" customHeight="1" x14ac:dyDescent="0.3">
      <c r="B116" s="242" t="s">
        <v>295</v>
      </c>
      <c r="C116" s="279" t="s">
        <v>296</v>
      </c>
      <c r="D116" s="279"/>
      <c r="E116" s="279"/>
      <c r="F116" s="279"/>
      <c r="G116" s="279"/>
      <c r="H116" s="279"/>
      <c r="I116" s="279"/>
      <c r="J116" s="279"/>
    </row>
    <row r="117" spans="2:10" ht="69.599999999999994" customHeight="1" x14ac:dyDescent="0.3">
      <c r="B117" s="243" t="s">
        <v>297</v>
      </c>
      <c r="C117" s="285" t="s">
        <v>298</v>
      </c>
      <c r="D117" s="285"/>
      <c r="E117" s="285"/>
      <c r="F117" s="285"/>
      <c r="G117" s="285"/>
      <c r="H117" s="285"/>
      <c r="I117" s="285"/>
      <c r="J117" s="286"/>
    </row>
    <row r="118" spans="2:10" ht="15" customHeight="1" x14ac:dyDescent="0.3"/>
    <row r="119" spans="2:10" ht="15" customHeight="1" x14ac:dyDescent="0.3"/>
    <row r="120" spans="2:10" ht="15" customHeight="1" x14ac:dyDescent="0.3"/>
  </sheetData>
  <sheetProtection algorithmName="SHA-512" hashValue="/V1xDXGFM2HROlugQL8hlGReY1FJIUZtHMgyuD2P39sVFiG+ypKavoK+5RLVG+FBbMiOTu9J75SXOYCqn5HdUw==" saltValue="S8SvzQfWd3KeO2uS0WK6ag==" spinCount="100000" sheet="1" objects="1" scenarios="1"/>
  <mergeCells count="23">
    <mergeCell ref="C117:J117"/>
    <mergeCell ref="C5:E5"/>
    <mergeCell ref="C6:E6"/>
    <mergeCell ref="C7:E7"/>
    <mergeCell ref="C8:E8"/>
    <mergeCell ref="C9:E9"/>
    <mergeCell ref="C10:E10"/>
    <mergeCell ref="C11:E11"/>
    <mergeCell ref="C12:E12"/>
    <mergeCell ref="C13:E13"/>
    <mergeCell ref="C14:E14"/>
    <mergeCell ref="B111:J111"/>
    <mergeCell ref="B17:H17"/>
    <mergeCell ref="C114:J114"/>
    <mergeCell ref="B64:H64"/>
    <mergeCell ref="G4:J4"/>
    <mergeCell ref="C115:J115"/>
    <mergeCell ref="C116:J116"/>
    <mergeCell ref="B1:J1"/>
    <mergeCell ref="B2:J2"/>
    <mergeCell ref="B56:H60"/>
    <mergeCell ref="C112:J112"/>
    <mergeCell ref="C113:J113"/>
  </mergeCells>
  <pageMargins left="0.94" right="0.75" top="1.36" bottom="0.7" header="0.52" footer="0.511811023622047"/>
  <pageSetup paperSize="9" scale="80" fitToHeight="0" orientation="landscape" r:id="rId1"/>
  <rowBreaks count="4" manualBreakCount="4">
    <brk id="29" max="9" man="1"/>
    <brk id="62" max="16383" man="1"/>
    <brk id="86" max="9" man="1"/>
    <brk id="109" max="16383" man="1"/>
  </rowBreaks>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COVER</vt:lpstr>
      <vt:lpstr>Assumptions</vt:lpstr>
      <vt:lpstr>Standalone Torrent</vt:lpstr>
      <vt:lpstr>Standalone JBChem</vt:lpstr>
      <vt:lpstr>Synergies</vt:lpstr>
      <vt:lpstr>Deal Mechanics</vt:lpstr>
      <vt:lpstr>ProForma Combined</vt:lpstr>
      <vt:lpstr>Accretion Dilution</vt:lpstr>
      <vt:lpstr>Valuation</vt:lpstr>
      <vt:lpstr>Summary FootballField</vt:lpstr>
      <vt:lpstr>COVER!Print_Area</vt:lpstr>
      <vt:lpstr>'Summary FootballField'!Print_Area</vt:lpstr>
      <vt:lpstr>Valuation!Print_Area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Anvay Gulwe</cp:lastModifiedBy>
  <cp:revision>9</cp:revision>
  <cp:lastPrinted>2026-05-22T18:56:14Z</cp:lastPrinted>
  <dcterms:created xsi:type="dcterms:W3CDTF">2026-05-07T03:21:33Z</dcterms:created>
  <dcterms:modified xsi:type="dcterms:W3CDTF">2026-05-23T07:27:06Z</dcterms:modified>
  <dc:language>en-US</dc:language>
</cp:coreProperties>
</file>