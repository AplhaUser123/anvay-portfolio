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nvay\Downloads\"/>
    </mc:Choice>
  </mc:AlternateContent>
  <xr:revisionPtr revIDLastSave="0" documentId="13_ncr:1_{893485FE-8411-43B3-8E8C-74564763B974}" xr6:coauthVersionLast="47" xr6:coauthVersionMax="47" xr10:uidLastSave="{00000000-0000-0000-0000-000000000000}"/>
  <bookViews>
    <workbookView xWindow="-108" yWindow="-108" windowWidth="23256" windowHeight="12456" tabRatio="500" xr2:uid="{00000000-000D-0000-FFFF-FFFF00000000}"/>
  </bookViews>
  <sheets>
    <sheet name="Cover Page" sheetId="11" r:id="rId1"/>
    <sheet name="Assumptions" sheetId="1" r:id="rId2"/>
    <sheet name="Mgmt Tracker" sheetId="2" r:id="rId3"/>
    <sheet name="Income Statement" sheetId="3" r:id="rId4"/>
    <sheet name="WACC" sheetId="4" r:id="rId5"/>
    <sheet name="DCF Valuation" sheetId="5" r:id="rId6"/>
    <sheet name="Sensitivity" sheetId="8" r:id="rId7"/>
    <sheet name="Football Field Summary" sheetId="10" r:id="rId8"/>
  </sheets>
  <definedNames>
    <definedName name="_xlnm.Print_Area" localSheetId="1">Assumptions!$A$1:$J$26</definedName>
    <definedName name="_xlnm.Print_Area" localSheetId="5">'DCF Valuation'!$A$1:$F$49</definedName>
    <definedName name="_xlnm.Print_Area" localSheetId="6">Sensitivity!$A$1:$H$25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0" i="5" l="1"/>
  <c r="J25" i="1"/>
  <c r="I25" i="1"/>
  <c r="H25" i="1"/>
  <c r="G25" i="1"/>
  <c r="J24" i="1"/>
  <c r="I24" i="1"/>
  <c r="H24" i="1"/>
  <c r="G24" i="1"/>
  <c r="F24" i="1"/>
  <c r="C9" i="4"/>
  <c r="H2" i="3"/>
  <c r="J2" i="3"/>
  <c r="I2" i="3"/>
  <c r="G2" i="3"/>
  <c r="E2" i="3"/>
  <c r="F2" i="3" s="1"/>
  <c r="D2" i="3"/>
  <c r="I2" i="1"/>
  <c r="J2" i="1" s="1"/>
  <c r="H2" i="1"/>
  <c r="G2" i="1"/>
  <c r="F2" i="1"/>
  <c r="E2" i="1"/>
  <c r="C15" i="4"/>
  <c r="C17" i="4" s="1"/>
  <c r="H8" i="10"/>
  <c r="G7" i="10"/>
  <c r="F7" i="10"/>
  <c r="G6" i="10"/>
  <c r="F6" i="10"/>
  <c r="G5" i="10"/>
  <c r="F5" i="10"/>
  <c r="G4" i="10"/>
  <c r="F4" i="10"/>
  <c r="H5" i="10" l="1"/>
  <c r="H7" i="10"/>
  <c r="H6" i="10"/>
  <c r="H4" i="10"/>
  <c r="J16" i="8" l="1"/>
  <c r="C5" i="5" s="1"/>
  <c r="F29" i="5" s="1"/>
  <c r="J7" i="8"/>
  <c r="C4" i="5" s="1"/>
  <c r="F24" i="5"/>
  <c r="F34" i="5" l="1"/>
  <c r="F33" i="5"/>
  <c r="E48" i="5"/>
  <c r="C37" i="5"/>
  <c r="F37" i="5" s="1"/>
  <c r="D14" i="5"/>
  <c r="C14" i="5"/>
  <c r="C23" i="4"/>
  <c r="C32" i="5" s="1"/>
  <c r="F32" i="5" s="1"/>
  <c r="C21" i="4"/>
  <c r="F16" i="3"/>
  <c r="F17" i="3" s="1"/>
  <c r="E16" i="3"/>
  <c r="E17" i="3" s="1"/>
  <c r="D16" i="3"/>
  <c r="D17" i="3" s="1"/>
  <c r="C16" i="3"/>
  <c r="C20" i="3" s="1"/>
  <c r="J23" i="3"/>
  <c r="I23" i="3"/>
  <c r="H23" i="3"/>
  <c r="G23" i="3"/>
  <c r="D14" i="3"/>
  <c r="J14" i="3"/>
  <c r="I14" i="3"/>
  <c r="H14" i="3"/>
  <c r="G14" i="3"/>
  <c r="G7" i="1"/>
  <c r="G5" i="1"/>
  <c r="H5" i="1" s="1"/>
  <c r="I5" i="1" s="1"/>
  <c r="J12" i="3"/>
  <c r="I12" i="3"/>
  <c r="H12" i="3"/>
  <c r="G12" i="3"/>
  <c r="J8" i="3"/>
  <c r="I8" i="3"/>
  <c r="H8" i="3"/>
  <c r="G8" i="3"/>
  <c r="C6" i="3"/>
  <c r="F8" i="3"/>
  <c r="J6" i="3"/>
  <c r="I6" i="3"/>
  <c r="H6" i="3"/>
  <c r="G6" i="3"/>
  <c r="G4" i="3"/>
  <c r="G3" i="3" s="1"/>
  <c r="C13" i="5" s="1"/>
  <c r="J4" i="3"/>
  <c r="I4" i="3"/>
  <c r="H4" i="3"/>
  <c r="E9" i="1"/>
  <c r="F9" i="1"/>
  <c r="E5" i="2"/>
  <c r="F6" i="1"/>
  <c r="E3" i="2" s="1"/>
  <c r="E6" i="1"/>
  <c r="E4" i="2" s="1"/>
  <c r="F14" i="3"/>
  <c r="E14" i="3"/>
  <c r="C14" i="3"/>
  <c r="F12" i="3"/>
  <c r="E12" i="3"/>
  <c r="D12" i="3"/>
  <c r="C12" i="3"/>
  <c r="F10" i="3"/>
  <c r="E10" i="3"/>
  <c r="D10" i="3"/>
  <c r="C10" i="3"/>
  <c r="E8" i="3"/>
  <c r="D8" i="3"/>
  <c r="C8" i="3"/>
  <c r="F6" i="3"/>
  <c r="E6" i="3"/>
  <c r="D6" i="3"/>
  <c r="F4" i="3"/>
  <c r="E4" i="3"/>
  <c r="D4" i="3"/>
  <c r="C17" i="3" l="1"/>
  <c r="C23" i="3"/>
  <c r="C24" i="3"/>
  <c r="C26" i="3" s="1"/>
  <c r="C21" i="3"/>
  <c r="F20" i="3"/>
  <c r="E20" i="3"/>
  <c r="D20" i="3"/>
  <c r="C24" i="4"/>
  <c r="C25" i="4" s="1"/>
  <c r="F14" i="5"/>
  <c r="E14" i="5"/>
  <c r="G15" i="3"/>
  <c r="C12" i="5" s="1"/>
  <c r="G13" i="3"/>
  <c r="H7" i="1"/>
  <c r="I7" i="1" s="1"/>
  <c r="J7" i="1" s="1"/>
  <c r="J5" i="1"/>
  <c r="G11" i="3"/>
  <c r="G7" i="3"/>
  <c r="H3" i="3"/>
  <c r="D13" i="5" s="1"/>
  <c r="G5" i="3"/>
  <c r="D23" i="3" l="1"/>
  <c r="D21" i="3"/>
  <c r="D24" i="3"/>
  <c r="D26" i="3" s="1"/>
  <c r="E23" i="3"/>
  <c r="E24" i="3"/>
  <c r="E26" i="3" s="1"/>
  <c r="F23" i="3"/>
  <c r="F24" i="3"/>
  <c r="F26" i="3" s="1"/>
  <c r="F21" i="3"/>
  <c r="E21" i="3"/>
  <c r="C27" i="3"/>
  <c r="C29" i="3"/>
  <c r="C26" i="4"/>
  <c r="C29" i="4" s="1"/>
  <c r="G9" i="3"/>
  <c r="G10" i="3" s="1"/>
  <c r="H15" i="3"/>
  <c r="D12" i="5" s="1"/>
  <c r="G16" i="3"/>
  <c r="H13" i="3"/>
  <c r="H7" i="3"/>
  <c r="H11" i="3"/>
  <c r="I3" i="3"/>
  <c r="E13" i="5" s="1"/>
  <c r="H5" i="3"/>
  <c r="F27" i="3" l="1"/>
  <c r="F29" i="3"/>
  <c r="E27" i="3"/>
  <c r="E29" i="3"/>
  <c r="D27" i="3"/>
  <c r="D29" i="3"/>
  <c r="J15" i="8"/>
  <c r="G29" i="5" s="1"/>
  <c r="J6" i="8"/>
  <c r="C3" i="5" s="1"/>
  <c r="G20" i="3"/>
  <c r="G22" i="3" s="1"/>
  <c r="C9" i="5"/>
  <c r="C10" i="5" s="1"/>
  <c r="H16" i="3"/>
  <c r="H9" i="3"/>
  <c r="H10" i="3" s="1"/>
  <c r="G17" i="3"/>
  <c r="I11" i="3"/>
  <c r="I15" i="3"/>
  <c r="E12" i="5" s="1"/>
  <c r="I13" i="3"/>
  <c r="I5" i="3"/>
  <c r="I7" i="3"/>
  <c r="J3" i="3"/>
  <c r="F13" i="5" s="1"/>
  <c r="F19" i="5" l="1"/>
  <c r="D19" i="5"/>
  <c r="C19" i="5"/>
  <c r="E19" i="5"/>
  <c r="C11" i="5"/>
  <c r="C15" i="5" s="1"/>
  <c r="H17" i="3"/>
  <c r="D9" i="5"/>
  <c r="D10" i="5" s="1"/>
  <c r="H20" i="3"/>
  <c r="H22" i="3" s="1"/>
  <c r="I16" i="3"/>
  <c r="I9" i="3"/>
  <c r="I10" i="3" s="1"/>
  <c r="G24" i="3"/>
  <c r="G21" i="3"/>
  <c r="J11" i="3"/>
  <c r="J15" i="3"/>
  <c r="F12" i="5" s="1"/>
  <c r="J13" i="3"/>
  <c r="J5" i="3"/>
  <c r="J7" i="3"/>
  <c r="C20" i="5" l="1"/>
  <c r="D11" i="5"/>
  <c r="D15" i="5" s="1"/>
  <c r="D20" i="5" s="1"/>
  <c r="H21" i="3"/>
  <c r="H24" i="3"/>
  <c r="H26" i="3" s="1"/>
  <c r="I17" i="3"/>
  <c r="E9" i="5"/>
  <c r="E10" i="5" s="1"/>
  <c r="I20" i="3"/>
  <c r="I22" i="3" s="1"/>
  <c r="G26" i="3"/>
  <c r="J9" i="3"/>
  <c r="J10" i="3" s="1"/>
  <c r="J16" i="3"/>
  <c r="I24" i="3" l="1"/>
  <c r="I26" i="3" s="1"/>
  <c r="E11" i="5"/>
  <c r="E15" i="5" s="1"/>
  <c r="E20" i="5" s="1"/>
  <c r="G27" i="3"/>
  <c r="G29" i="3"/>
  <c r="H27" i="3"/>
  <c r="H29" i="3"/>
  <c r="F9" i="5"/>
  <c r="F10" i="5" s="1"/>
  <c r="J20" i="3"/>
  <c r="J22" i="3" s="1"/>
  <c r="I21" i="3"/>
  <c r="J17" i="3"/>
  <c r="F11" i="5" l="1"/>
  <c r="F15" i="5" s="1"/>
  <c r="F23" i="5" s="1"/>
  <c r="F25" i="5" s="1"/>
  <c r="F26" i="5" s="1"/>
  <c r="I27" i="3"/>
  <c r="I29" i="3"/>
  <c r="J24" i="3"/>
  <c r="J21" i="3"/>
  <c r="F20" i="5" l="1"/>
  <c r="C30" i="5" s="1"/>
  <c r="J26" i="3"/>
  <c r="C29" i="5" l="1"/>
  <c r="J27" i="3"/>
  <c r="J29" i="3"/>
  <c r="C31" i="5" l="1"/>
  <c r="C35" i="5" s="1"/>
  <c r="E46" i="5" s="1"/>
  <c r="F31" i="5"/>
  <c r="E45" i="5" l="1"/>
  <c r="C38" i="5"/>
  <c r="G30" i="5"/>
  <c r="C6" i="8" l="1"/>
  <c r="E47" i="5"/>
  <c r="C40" i="5"/>
  <c r="E49" i="5"/>
  <c r="F35" i="5"/>
  <c r="F38" i="5" s="1"/>
  <c r="C42" i="5" s="1"/>
  <c r="C16" i="8" l="1"/>
  <c r="F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G6" authorId="0" shapeId="0" xr:uid="{BB7D04E6-97B7-4CF4-8423-B7BCF3A2CDA9}">
      <text>
        <r>
          <rPr>
            <b/>
            <sz val="9"/>
            <color indexed="81"/>
            <rFont val="Tahoma"/>
            <family val="2"/>
          </rPr>
          <t>Anvay:</t>
        </r>
        <r>
          <rPr>
            <sz val="9"/>
            <color indexed="81"/>
            <rFont val="Tahoma"/>
            <family val="2"/>
          </rPr>
          <t xml:space="preserve">
Management has guided 10 to 12% revenue growth for FY27. However, given the company's miss on FY26 guidance, execution challenges in certain segments and near term supply chain disruptions, I have assumed 11% revenue growth, which represents a balanced and realistic estimate within the guided range.
</t>
        </r>
        <r>
          <rPr>
            <i/>
            <sz val="9"/>
            <color indexed="81"/>
            <rFont val="Tahoma"/>
            <family val="2"/>
          </rPr>
          <t>Source: Q4FY26 Concall.</t>
        </r>
      </text>
    </comment>
    <comment ref="H6" authorId="0" shapeId="0" xr:uid="{1DFC278B-5A78-4DA5-B598-0C8C97F95C43}">
      <text>
        <r>
          <rPr>
            <b/>
            <sz val="9"/>
            <color indexed="81"/>
            <rFont val="Tahoma"/>
            <family val="2"/>
          </rPr>
          <t>Anvay:</t>
        </r>
        <r>
          <rPr>
            <sz val="9"/>
            <color indexed="81"/>
            <rFont val="Tahoma"/>
            <family val="2"/>
          </rPr>
          <t xml:space="preserve">
L&amp;T's Lakshya 31 strategic plan targets revenue growth of 12 to 15% CAGR between FY27 and FY31. Considering the company's strong order book, improving execution environment, and expected normalization of supply chain conditions, I have assumed 13% revenue growth for FY28. This assumption lies within management's target range and represents a balanced outlook without relying on overly optimistic growth expectations.
</t>
        </r>
      </text>
    </comment>
    <comment ref="I6" authorId="0" shapeId="0" xr:uid="{EF8F1116-EFD9-4480-AB8F-066A2E9CC6D9}">
      <text>
        <r>
          <rPr>
            <b/>
            <sz val="9"/>
            <color indexed="81"/>
            <rFont val="Tahoma"/>
            <family val="2"/>
          </rPr>
          <t>Anvay:</t>
        </r>
        <r>
          <rPr>
            <sz val="9"/>
            <color indexed="81"/>
            <rFont val="Tahoma"/>
            <family val="2"/>
          </rPr>
          <t xml:space="preserve">
L&amp;T's Lakshya 31 strategic plan targets revenue growth of 12 to 15% CAGR between FY27 and FY31. As the company progresses through this period, I expect growth to gradually accelerate, supported by the maturation of emerging businesses such as offshore wind, defense, data centers, and industrial electronics. In addition, opportunities in international markets could provide incremental growth. Therefore, I have assumed revenue growth of 14% in FY29 and 14.5% in FY30, reflecting stronger contributions from these growth drivers while still remaining within management's target range and avoiding assumptions of perfect execution.</t>
        </r>
      </text>
    </comment>
    <comment ref="G9" authorId="0" shapeId="0" xr:uid="{8ED487FA-EE76-43D2-A544-71D980FDB642}">
      <text>
        <r>
          <rPr>
            <b/>
            <sz val="9"/>
            <color indexed="81"/>
            <rFont val="Tahoma"/>
            <family val="2"/>
          </rPr>
          <t>Anvay:</t>
        </r>
        <r>
          <rPr>
            <sz val="9"/>
            <color indexed="81"/>
            <rFont val="Tahoma"/>
            <family val="2"/>
          </rPr>
          <t xml:space="preserve">
Management has guided 10 to 12% order inflow growth for FY27. I have assumed 11% growth, which is the midpoint of the guided range. While the prospects pipeline has declined slightly from the previous year due to project cancellations and delays in certain Middle East markets, it remains strong at approximately ₹17.8 trillion. Therefore, I believe an 11% order inflow growth assumption represents a balanced and realistic outlook for FY27.
</t>
        </r>
        <r>
          <rPr>
            <i/>
            <sz val="9"/>
            <color indexed="81"/>
            <rFont val="Tahoma"/>
            <family val="2"/>
          </rPr>
          <t>Q4FY26 Concall.</t>
        </r>
      </text>
    </comment>
    <comment ref="H9" authorId="0" shapeId="0" xr:uid="{CDFD9B3E-36A7-4440-98E2-E9E6CF4F50AE}">
      <text>
        <r>
          <rPr>
            <b/>
            <sz val="9"/>
            <color indexed="81"/>
            <rFont val="Tahoma"/>
            <family val="2"/>
          </rPr>
          <t>Anvay:</t>
        </r>
        <r>
          <rPr>
            <sz val="9"/>
            <color indexed="81"/>
            <rFont val="Tahoma"/>
            <family val="2"/>
          </rPr>
          <t xml:space="preserve">
L&amp;T's Lakshya 31 strategic plan targets order inflow growth of approximately 10 to 12% CAGR. I have assumed 12% growth for FY28 to FY30, reflecting the upper end of management's target range. This assumption is supported by continued infrastructure spending, opportunities in power, renewables, defense and industrial projects, as well as potential order inflows from international markets. Overall, the assumption reflects a positive outlook while remaining aligned with management's long term guidance.</t>
        </r>
      </text>
    </comment>
    <comment ref="G13" authorId="0" shapeId="0" xr:uid="{865482E5-EBF4-4D05-9C73-63BB7DDF1C97}">
      <text>
        <r>
          <rPr>
            <b/>
            <sz val="9"/>
            <color indexed="81"/>
            <rFont val="Tahoma"/>
            <family val="2"/>
          </rPr>
          <t>Anvay:</t>
        </r>
        <r>
          <rPr>
            <sz val="9"/>
            <color indexed="81"/>
            <rFont val="Tahoma"/>
            <family val="2"/>
          </rPr>
          <t xml:space="preserve">
Historically, L&amp;T's material cost has remained in the range of 30 to 36% of revenue. After rising to around 36% in FY25 due to higher commodity prices, the ratio normalized to approximately 33.5% in FY26 as input cost pressures eased. Since the company is currently operating at a more normal cost level, I have assumed a material cost ratio of 33.5% for FY27, broadly in line with FY26.
</t>
        </r>
        <r>
          <rPr>
            <i/>
            <sz val="9"/>
            <color indexed="81"/>
            <rFont val="Tahoma"/>
            <family val="2"/>
          </rPr>
          <t>Source: Screener historicals + Q4FY26 Concall.</t>
        </r>
      </text>
    </comment>
    <comment ref="J13" authorId="0" shapeId="0" xr:uid="{DBA9E87E-1A26-45B6-8EFF-DED38A438DD2}">
      <text>
        <r>
          <rPr>
            <b/>
            <sz val="9"/>
            <color indexed="81"/>
            <rFont val="Tahoma"/>
            <family val="2"/>
          </rPr>
          <t>Anvay:</t>
        </r>
        <r>
          <rPr>
            <sz val="9"/>
            <color indexed="81"/>
            <rFont val="Tahoma"/>
            <family val="2"/>
          </rPr>
          <t xml:space="preserve">
I have assumed that material cost gradually declines from 33.5% in FY27 to 32.0% by FY30. This is based on an expected improvement in business mix, with a greater contribution from higher value segments such as offshore wind, defense and nuclear engineering, where engineering expertise represents a larger share of revenue. In addition, management's focus on modular fabrication, better inventory management and procurement efficiencies could help improve material cost efficiency over time. The assumption is not aggressive, as it reflects only a gradual improvement over four years and remains well within the company's historical material cost range.</t>
        </r>
      </text>
    </comment>
    <comment ref="G14" authorId="0" shapeId="0" xr:uid="{A3A7A8D0-F1A1-4B58-9B18-0A5E07BC2D61}">
      <text>
        <r>
          <rPr>
            <b/>
            <sz val="9"/>
            <color indexed="81"/>
            <rFont val="Tahoma"/>
            <family val="2"/>
          </rPr>
          <t>Anvay:</t>
        </r>
        <r>
          <rPr>
            <sz val="9"/>
            <color indexed="81"/>
            <rFont val="Tahoma"/>
            <family val="2"/>
          </rPr>
          <t xml:space="preserve">
I have assumed employee costs of 18.5% of revenue for FY27 and FY28. This reflects the company's ongoing investments in talent to support growth in emerging areas such as data centers, semiconductor design, industrial electronics, and advanced engineering. These businesses require highly skilled employees, which can increase personnel costs. In addition, hiring expenses are incurred immediately, while the revenue contribution from new projects typically takes time to materialize. As a result, employee costs may remain elevated in the near term.
</t>
        </r>
        <r>
          <rPr>
            <i/>
            <sz val="9"/>
            <color indexed="81"/>
            <rFont val="Tahoma"/>
            <family val="2"/>
          </rPr>
          <t>Source: Lakshya31 plan + Q4FY26 Concall</t>
        </r>
      </text>
    </comment>
    <comment ref="J14" authorId="0" shapeId="0" xr:uid="{9BFC37BC-6DC3-4015-8AAD-A8B326CD4B58}">
      <text>
        <r>
          <rPr>
            <b/>
            <sz val="9"/>
            <color indexed="81"/>
            <rFont val="Tahoma"/>
            <family val="2"/>
          </rPr>
          <t>Anvay:</t>
        </r>
        <r>
          <rPr>
            <sz val="9"/>
            <color indexed="81"/>
            <rFont val="Tahoma"/>
            <family val="2"/>
          </rPr>
          <t xml:space="preserve">
I have assumed that employee costs gradually decline from 18.5% of revenue in FY27 to FY28 to 17.5% by FY30. This is mainly driven by operating leverage, where revenue is expected to grow faster than employee costs over time. In addition, management's focus on technology enabled execution, including automation, digital tools, and improved project monitoring, could enhance productivity and reduce the need for additional manpower as the business scales. As a result, employee costs may represent a smaller percentage of revenue over time. The assumption is conservative, as it reflects only a gradual improvement from current levels rather than a significant reduction in workforce costs.</t>
        </r>
      </text>
    </comment>
    <comment ref="G15" authorId="0" shapeId="0" xr:uid="{07FFCC19-C27A-42C0-9D70-4613376BDFBE}">
      <text>
        <r>
          <rPr>
            <b/>
            <sz val="9"/>
            <color indexed="81"/>
            <rFont val="Tahoma"/>
            <family val="2"/>
          </rPr>
          <t>Anvay:</t>
        </r>
        <r>
          <rPr>
            <sz val="9"/>
            <color indexed="81"/>
            <rFont val="Tahoma"/>
            <family val="2"/>
          </rPr>
          <t xml:space="preserve">
Trailing average</t>
        </r>
      </text>
    </comment>
    <comment ref="G16" authorId="0" shapeId="0" xr:uid="{E7F1B59B-0F27-4B05-8464-95FF3A44A3FA}">
      <text>
        <r>
          <rPr>
            <b/>
            <sz val="9"/>
            <color indexed="81"/>
            <rFont val="Tahoma"/>
            <family val="2"/>
          </rPr>
          <t>Anvay:</t>
        </r>
        <r>
          <rPr>
            <sz val="9"/>
            <color indexed="81"/>
            <rFont val="Tahoma"/>
            <family val="2"/>
          </rPr>
          <t xml:space="preserve">
I have assumed depreciation at 1.6% of revenue for FY27. Depreciation represents the annual expense associated with long term assets such as factories, machinery, data centers, and equipment. In FY26, depreciation was approximately 1.5% of revenue. Since the company continues to invest in new assets to support future growth, I have assumed a slightly higher depreciation ratio of 1.6% for FY27.</t>
        </r>
      </text>
    </comment>
    <comment ref="J16" authorId="0" shapeId="0" xr:uid="{F7152BDC-E0FC-4C99-8987-086B0B900FE4}">
      <text>
        <r>
          <rPr>
            <b/>
            <sz val="9"/>
            <color indexed="81"/>
            <rFont val="Tahoma"/>
            <family val="2"/>
          </rPr>
          <t>Anvay:</t>
        </r>
        <r>
          <rPr>
            <sz val="9"/>
            <color indexed="81"/>
            <rFont val="Tahoma"/>
            <family val="2"/>
          </rPr>
          <t xml:space="preserve">
I have assumed that depreciation gradually increases from 1.6% of revenue in FY27 to 1.8% by FY30. This reflects the company's planned investments in areas such as data centers, shipyard infrastructure, and electronics manufacturing, which are expected to increase the asset base over time. As these assets become operational, depreciation expense is likely to rise. However, revenue is also expected to grow during this period, which limits the increase in the depreciation ratio. As a result, I have assumed only a gradual increase to 1.8% by FY30, reflecting continued investment in growth while remaining a realistic and conservative assumption.</t>
        </r>
      </text>
    </comment>
    <comment ref="G17" authorId="0" shapeId="0" xr:uid="{1E8A4ACE-B8B7-4790-9A2E-326CB922E8A4}">
      <text>
        <r>
          <rPr>
            <b/>
            <sz val="9"/>
            <color indexed="81"/>
            <rFont val="Tahoma"/>
            <family val="2"/>
          </rPr>
          <t>Anvay:</t>
        </r>
        <r>
          <rPr>
            <sz val="9"/>
            <color indexed="81"/>
            <rFont val="Tahoma"/>
            <family val="2"/>
          </rPr>
          <t xml:space="preserve">
I have assumed CAPEX at 2.5% of revenue for FY27 based on management's planned investments across the core business, electronics, and data center segments. These investments are intended to support future growth through capacity expansion and new business opportunities. Based on the company's expected FY27 revenue and announced capital expenditure plans, a 2.5% CAPEX to revenue ratio appears to be a reasonable assumption. It also provides a small buffer for potential increases in project spending, which are common in large-scale investment programs.</t>
        </r>
      </text>
    </comment>
    <comment ref="H17" authorId="0" shapeId="0" xr:uid="{1BC45360-1F20-43DC-A9CE-E004077FF460}">
      <text>
        <r>
          <rPr>
            <b/>
            <sz val="9"/>
            <color indexed="81"/>
            <rFont val="Tahoma"/>
            <family val="2"/>
          </rPr>
          <t>Anvay:</t>
        </r>
        <r>
          <rPr>
            <sz val="9"/>
            <color indexed="81"/>
            <rFont val="Tahoma"/>
            <family val="2"/>
          </rPr>
          <t xml:space="preserve">
I have assumed CAPEX at 2.8% of revenue for FY28 and FY29, as these years are likely to represent the peak investment phase of the Lakshya 31 strategy. Management has outlined significant investments in areas such as data centers, electronics manufacturing, defense, technology led businesses and capacity expansion. As these projects move into their execution phase, capital spending is expected to increase. Therefore, I have assumed a slightly higher CAPEX to revenue ratio during FY28 and FY29 to reflect this elevated investment activity.</t>
        </r>
      </text>
    </comment>
    <comment ref="J17" authorId="0" shapeId="0" xr:uid="{F0996DAE-C4D5-47AD-B137-BFAF4131BB2C}">
      <text>
        <r>
          <rPr>
            <b/>
            <sz val="9"/>
            <color indexed="81"/>
            <rFont val="Tahoma"/>
            <family val="2"/>
          </rPr>
          <t>Anvay:</t>
        </r>
        <r>
          <rPr>
            <sz val="9"/>
            <color indexed="81"/>
            <rFont val="Tahoma"/>
            <family val="2"/>
          </rPr>
          <t xml:space="preserve">
I have assumed that CAPEX moderates to 2.5% of revenue in FY30 as the company moves beyond the peak investment phase of its Lakshya 31 strategy. By this stage, many of the major investments in areas such as data centers, electronics manufacturing, and capacity expansion are expected to be largely completed. As a result capital spending is likely to shift toward maintenance requirements and smaller expansion projects. Although the assumption remains above the company's historical CAPEX to revenue ratio, it reflects continued growth investments while recognizing that the most capital-intensive phase is likely to be behind the company.</t>
        </r>
      </text>
    </comment>
    <comment ref="G18" authorId="0" shapeId="0" xr:uid="{8E2AD83C-214C-4B12-9CCD-D15D82F422FE}">
      <text>
        <r>
          <rPr>
            <b/>
            <sz val="9"/>
            <color indexed="81"/>
            <rFont val="Tahoma"/>
            <family val="2"/>
          </rPr>
          <t>Anvay:</t>
        </r>
        <r>
          <rPr>
            <sz val="9"/>
            <color indexed="81"/>
            <rFont val="Tahoma"/>
            <family val="2"/>
          </rPr>
          <t xml:space="preserve">
I have assumed a tax rate of 25.5% for the forecast period based on the company's historical effective tax rate, which has remained broadly in the 24 to 26% range over the last few years. While FY26 reported a slightly higher tax rate due to certain non recurring items, I do not expect such factors to materially impact future periods. In addition, the assumption is broadly aligned with the prevailing corporate tax rate applicable to large Indian companies. Therefore, a 25.5% tax rate appears to be a reasonable and sustainable long term assumption.</t>
        </r>
      </text>
    </comment>
    <comment ref="G19" authorId="0" shapeId="0" xr:uid="{D5DD38FF-D787-46AD-A551-86AB654B639D}">
      <text>
        <r>
          <rPr>
            <b/>
            <sz val="9"/>
            <color indexed="81"/>
            <rFont val="Tahoma"/>
            <family val="2"/>
          </rPr>
          <t>Anvay:</t>
        </r>
        <r>
          <rPr>
            <sz val="9"/>
            <color indexed="81"/>
            <rFont val="Tahoma"/>
            <family val="2"/>
          </rPr>
          <t xml:space="preserve">
The FY26 working capital position of -9.4% was temporary and mainly driven by high customer advances and unusually favorable vendor credit. Management has guided for working capital to be around 10% in FY27, so the model assumes a significant normalization in working capital, which reduces FCFF substantially in FY27. After that, better collections, a higher share of private sector orders, and operational improvements are expected to gradually improve working capital, bringing it down to around 6% by FY30.
</t>
        </r>
      </text>
    </comment>
    <comment ref="J19" authorId="0" shapeId="0" xr:uid="{24DA73AA-60D5-4D0D-A6EC-26F25FCE1B4D}">
      <text>
        <r>
          <rPr>
            <b/>
            <sz val="9"/>
            <color indexed="81"/>
            <rFont val="Tahoma"/>
            <family val="2"/>
          </rPr>
          <t>Anvay:</t>
        </r>
        <r>
          <rPr>
            <sz val="9"/>
            <color indexed="81"/>
            <rFont val="Tahoma"/>
            <family val="2"/>
          </rPr>
          <t xml:space="preserve">
I have assumed that Working Capital gradually improves from 10% of revenue in FY27 to 6% by FY30. This is based on the expectation of better working capital efficiency as the business scales. A higher contribution from private sector projects, which typically have faster payment cycles, could support quicker collections. In addition, the company has already demonstrated meaningful improvements in working capital management through better billing, collections, and inventory control. While working capital reached unusually low levels in FY26, I have not assumed those levels are fully sustainable. Instead, I have used a gradual improvement path to 6% by FY30, which I believe represents a balanced and realistic long term assumption.</t>
        </r>
      </text>
    </comment>
    <comment ref="C24" authorId="0" shapeId="0" xr:uid="{0BF8D4F4-65EE-4545-A92A-1A8159017348}">
      <text>
        <r>
          <rPr>
            <b/>
            <sz val="9"/>
            <color indexed="81"/>
            <rFont val="Tahoma"/>
            <family val="2"/>
          </rPr>
          <t>Anvay:</t>
        </r>
        <r>
          <rPr>
            <sz val="9"/>
            <color indexed="81"/>
            <rFont val="Tahoma"/>
            <family val="2"/>
          </rPr>
          <t xml:space="preserve">
I used a 5.5% terminal growth rate because I believe L&amp;T can continue growing in the long run as India keeps investing in infrastructure, energy, and development projects. Since L&amp;T operates across many different sectors, it should be able to benefit from these opportunities. At the same time, its core EPC business is already quite large and mature, so I did not assume a very high growth rate. I also kept the growth rate below the WACC to make sure the valuation remains realistic and not overly optimistic.</t>
        </r>
      </text>
    </comment>
    <comment ref="C25" authorId="0" shapeId="0" xr:uid="{807CD12C-CBAC-40C2-8779-F4D2560F7220}">
      <text>
        <r>
          <rPr>
            <b/>
            <sz val="9"/>
            <color indexed="81"/>
            <rFont val="Tahoma"/>
            <family val="2"/>
          </rPr>
          <t>Anvay:</t>
        </r>
        <r>
          <rPr>
            <sz val="9"/>
            <color indexed="81"/>
            <rFont val="Tahoma"/>
            <family val="2"/>
          </rPr>
          <t xml:space="preserve">
I believe L&amp;T's margins can improve gradually over the next few years as older low margin projects get completed and the company earns more revenue from higher-value areas like defence, offshore wind, and data centers. Because of this, I assumed EBITDA margins increase from 8.8% to 10.5% by FY31, which I think is a reasonable expectation rather than an aggressive one.</t>
        </r>
      </text>
    </comment>
    <comment ref="C26" authorId="0" shapeId="0" xr:uid="{CD1D8668-A572-48E7-9E8D-7007F80E1AB7}">
      <text>
        <r>
          <rPr>
            <b/>
            <sz val="9"/>
            <color indexed="81"/>
            <rFont val="Tahoma"/>
            <family val="2"/>
          </rPr>
          <t>Anvay:</t>
        </r>
        <r>
          <rPr>
            <sz val="9"/>
            <color indexed="81"/>
            <rFont val="Tahoma"/>
            <family val="2"/>
          </rPr>
          <t xml:space="preserve">
I have used an exit multiple of 18x EV/EBITDA, which is broadly in line with L&amp;T's historical trading range. While the company currently trades at a lower multiple, I believe FY30 L&amp;T could be a higher quality business, supported by the growth of newer segments such as data centers, defense, and offshore wind, along with the resolution of legacy project issues. Although some engineering peers trade at higher valuation multiples, L&amp;T's significant EPC exposure typically warrants a more moderate valuation. Therefore, I believe an 18x EV/EBITDA exit multiple represents a balanced and reasonable long term assumption.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F3" authorId="0" shapeId="0" xr:uid="{72E0D74D-DE89-4E8B-9B55-E9761C3EE3DC}">
      <text>
        <r>
          <rPr>
            <b/>
            <sz val="9"/>
            <color indexed="81"/>
            <rFont val="Tahoma"/>
            <family val="2"/>
          </rPr>
          <t>Anvay:</t>
        </r>
        <r>
          <rPr>
            <sz val="9"/>
            <color indexed="81"/>
            <rFont val="Tahoma"/>
            <family val="2"/>
          </rPr>
          <t xml:space="preserve">
Management guided for ~15% revenue growth in FY26, but actual growth was only 11.8%, primarily due to Middle East supply chain disruptions, delays in water projects, regulatory approvals and deferred revenue recognition in Q4. This guidance miss suggests that management's targets should be viewed with some caution, which is why I have used more balanced assumptions rather than relying on the upper end of future guidance ranges</t>
        </r>
      </text>
    </comment>
    <comment ref="F4" authorId="0" shapeId="0" xr:uid="{B684A75E-61E5-401C-9FAC-2DC36F230105}">
      <text>
        <r>
          <rPr>
            <b/>
            <sz val="9"/>
            <color indexed="81"/>
            <rFont val="Tahoma"/>
            <family val="2"/>
          </rPr>
          <t>Anvay:</t>
        </r>
        <r>
          <rPr>
            <sz val="9"/>
            <color indexed="81"/>
            <rFont val="Tahoma"/>
            <family val="2"/>
          </rPr>
          <t xml:space="preserve">
Management guided for approximately 15% revenue growth in FY25 and delivered 15.7%, slightly above its target. However, the outperformance was modest and largely supported by strong execution in the final quarter rather than a significant beat throughout the year. Therefore, I view FY25 as a broad meet of guidance rather than a meaningful outperformance. When combined with the FY26 guidance miss, this suggests that management guidance is generally directionally useful but should be considered alongside execution risks when making forecasts.</t>
        </r>
      </text>
    </comment>
    <comment ref="F5" authorId="0" shapeId="0" xr:uid="{33343C62-1001-40BC-B9FC-293308A00D4B}">
      <text>
        <r>
          <rPr>
            <b/>
            <sz val="9"/>
            <color indexed="81"/>
            <rFont val="Tahoma"/>
            <family val="2"/>
          </rPr>
          <t>Anvay:</t>
        </r>
        <r>
          <rPr>
            <sz val="9"/>
            <color indexed="81"/>
            <rFont val="Tahoma"/>
            <family val="2"/>
          </rPr>
          <t xml:space="preserve">
Management guided for approximately 15% revenue growth in FY24 but delivered 20.6%, significantly exceeding its target. The strong performance was driven by robust infrastructure spending, improving private sector investment, strong order execution and healthy conversion of the existing order book into revenue. This demonstrates that L&amp;T has the ability to outperform guidance when market conditions and execution remain favorable. Therefore, while FY26 highlighted certain execution and external challenges, FY24 shows that management is generally capable of delivering strong growth. As a result, I view management guidance as a useful reference point but I prefer to use balanced assumptions that also account for prevailing business conditions and execution risks.</t>
        </r>
      </text>
    </comment>
    <comment ref="F6" authorId="0" shapeId="0" xr:uid="{AFEAAF9F-BA87-43EC-83D9-5CC61C8E188A}">
      <text>
        <r>
          <rPr>
            <b/>
            <sz val="9"/>
            <color indexed="81"/>
            <rFont val="Tahoma"/>
            <family val="2"/>
          </rPr>
          <t>Anvay:</t>
        </r>
        <r>
          <rPr>
            <sz val="9"/>
            <color indexed="81"/>
            <rFont val="Tahoma"/>
            <family val="2"/>
          </rPr>
          <t xml:space="preserve">
Management guided for approximately 10% order inflow growth in FY26, but actual order inflows grew by more than 22%, significantly exceeding expectations. The outperformance was driven by several large contract wins across offshore wind, hydrocarbon, infrastructure and clean energy projects. This highlights L&amp;T's strong ability to secure new business and maintain a healthy project pipeline. The key takeaway is that demand for L&amp;T's services remains strong, as reflected in its large order book and consistent order wins. While project execution can sometimes affect the timing of revenue recognition, the company's ability to win orders provides strong visibility for future growth.</t>
        </r>
      </text>
    </comment>
    <comment ref="F7" authorId="0" shapeId="0" xr:uid="{7AA401D3-57C3-48A9-97E4-55CEC9E8FCF9}">
      <text>
        <r>
          <rPr>
            <b/>
            <sz val="9"/>
            <color indexed="81"/>
            <rFont val="Tahoma"/>
            <family val="2"/>
          </rPr>
          <t>Anvay:</t>
        </r>
        <r>
          <rPr>
            <sz val="9"/>
            <color indexed="81"/>
            <rFont val="Tahoma"/>
            <family val="2"/>
          </rPr>
          <t xml:space="preserve">
Management guided for 10 to 15% order inflow growth in FY25, but actual growth exceeded 18%, outperforming even the upper end of the guidance range. The strong performance was supported by healthy domestic investment activity, continued opportunities in the Middle East, and L&amp;T's diversified business model, which allows it to capture growth across multiple sectors and geographies. The result highlights the company's strong order winning capability and ability to build a robust project pipeline. For forecasting purposes, this provides confidence in L&amp;T's long-term growth visibility, as the company has consistently demonstrated its ability to secure large contracts and maintain a strong order book.
The company did not provide one exact FY25 order inflow growth number in its public reports. So, I estimated it based on order book changes, management updates, and earnings call discussions. Even if the exact percentage may differ slightly, it is clear that FY25 order inflows were much stronger than what management had initially guided.
</t>
        </r>
      </text>
    </comment>
    <comment ref="F8" authorId="0" shapeId="0" xr:uid="{05B95C80-8B32-4607-9D1A-C5268DB68744}">
      <text>
        <r>
          <rPr>
            <b/>
            <sz val="9"/>
            <color indexed="81"/>
            <rFont val="Tahoma"/>
            <family val="2"/>
          </rPr>
          <t>Anvay:</t>
        </r>
        <r>
          <rPr>
            <sz val="9"/>
            <color indexed="81"/>
            <rFont val="Tahoma"/>
            <family val="2"/>
          </rPr>
          <t xml:space="preserve">
Management had indicated that P&amp;M EBITDA margins could improve by around 20 basis points in FY26. However, instead of improving, margins declined to 7.8%, below the implied expectation of approximately 8.3%. The shortfall was mainly driven by legacy hydrocarbon projects that faced cost overruns and lower profitability, along with supply chain and execution disruptions during the final quarter of FY26. Importantly, margin performance during the first nine months of the year was broadly on track, with most of the pressure arising in Q4. As a result, I do not assume an immediate recovery in margins. Instead, I model a gradual improvement over time as legacy project issues are resolved and operating conditions normalize.</t>
        </r>
      </text>
    </comment>
    <comment ref="F9" authorId="0" shapeId="0" xr:uid="{AD01C9E0-CF34-4A62-81ED-CEE6D5BBFB86}">
      <text>
        <r>
          <rPr>
            <b/>
            <sz val="9"/>
            <color indexed="81"/>
            <rFont val="Tahoma"/>
            <family val="2"/>
          </rPr>
          <t>Anvay:</t>
        </r>
        <r>
          <rPr>
            <sz val="9"/>
            <color indexed="81"/>
            <rFont val="Tahoma"/>
            <family val="2"/>
          </rPr>
          <t xml:space="preserve">
Management guided for a P&amp;M EBITDA margin of approximately 8.5% in FY25, while the actual margin was 8.3%. Although the company fell slightly short of its target, the gap was relatively small at just 20 basis points. The shortfall was primarily due to pressure from certain hydrocarbon projects that were impacted by higher input and execution costs. Therefore, I view FY25 as a near miss rather than a meaningful guidance failure. However, the result did indicate early signs of margin pressure, suggesting that management may have been somewhat optimistic about the profitability of these projects.
</t>
        </r>
      </text>
    </comment>
    <comment ref="F10" authorId="0" shapeId="0" xr:uid="{33DAE36E-BDE9-4043-B412-85D95FC4CDDD}">
      <text>
        <r>
          <rPr>
            <b/>
            <sz val="9"/>
            <color indexed="81"/>
            <rFont val="Tahoma"/>
            <family val="2"/>
          </rPr>
          <t>Anvay:</t>
        </r>
        <r>
          <rPr>
            <sz val="9"/>
            <color indexed="81"/>
            <rFont val="Tahoma"/>
            <family val="2"/>
          </rPr>
          <t xml:space="preserve">
Under the Lakshya 26 plan, management had targeted an ROE of 18%. However, FY26 reported ROE was 15.5%, while the adjusted ROE (excluding the impact of a one time Labour Code provision) was 16.6%. Since both figures remained below the 18% target, I classify this as a miss. The shortfall was driven by factors such as the delay in monetizing the Hyderabad Metro asset, one time provisions, and profitability pressures from certain projects. As a result, while management's long term targets provide a useful reference point, I prefer to apply conservative assumptions rather than relying entirely on management guidance.</t>
        </r>
      </text>
    </comment>
    <comment ref="F11" authorId="0" shapeId="0" xr:uid="{4C16B6B2-2CB2-4D9B-ABC0-C7CE470FA1BC}">
      <text>
        <r>
          <rPr>
            <b/>
            <sz val="9"/>
            <color indexed="81"/>
            <rFont val="Tahoma"/>
            <family val="2"/>
          </rPr>
          <t>Anvay:</t>
        </r>
        <r>
          <rPr>
            <sz val="9"/>
            <color indexed="81"/>
            <rFont val="Tahoma"/>
            <family val="2"/>
          </rPr>
          <t xml:space="preserve">
Management had guided for working capital of around 12%, but the company ended FY26 at approximately 4.1%, significantly outperforming expectations. The improvement was mainly driven by strong customer advances on large projects and higher vendor credit, both of which provided a temporary boost to cash flows and reduced working capital requirements. While this was a genuine operational achievement, management has indicated that such low levels are unlikely to be sustainable and that working capital is expected to normalize closer to 10% in FY27. Therefore, although FY26 represented a significant beat versus guidance, I do not assume that the exceptionally low working capital level will persist in future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B18" authorId="0" shapeId="0" xr:uid="{F0610879-C854-4B34-91A8-E2840AC0B9FA}">
      <text>
        <r>
          <rPr>
            <b/>
            <sz val="9"/>
            <color indexed="81"/>
            <rFont val="Tahoma"/>
            <family val="2"/>
          </rPr>
          <t>Anvay:</t>
        </r>
        <r>
          <rPr>
            <sz val="9"/>
            <color indexed="81"/>
            <rFont val="Tahoma"/>
            <family val="2"/>
          </rPr>
          <t xml:space="preserve">
Other Income is the income L&amp;T earns outside its core business operations. It mainly comes from interest on cash and investments, dividends received from subsidiaries such as LTIMindtree and L&amp;T Technology Services, gains from selling investments, and other non-operating income sources.
</t>
        </r>
      </text>
    </comment>
    <comment ref="G18" authorId="0" shapeId="0" xr:uid="{E6AF8954-A7D4-4B61-845F-FEB1FFBEB3A6}">
      <text>
        <r>
          <rPr>
            <b/>
            <sz val="9"/>
            <color indexed="81"/>
            <rFont val="Tahoma"/>
            <family val="2"/>
          </rPr>
          <t>Anvay:</t>
        </r>
        <r>
          <rPr>
            <sz val="9"/>
            <color indexed="81"/>
            <rFont val="Tahoma"/>
            <family val="2"/>
          </rPr>
          <t xml:space="preserve">
I have assumed Other Income of ₹5,500 crore for FY27, compared to ₹4,986 crore in FY26. This reflects the company's large investment portfolio, which continues to generate treasury income and provide a steady contribution to earnings. While asset monetization initiatives such as the Nabha Power and Hyderabad Metro divestments could potentially result in additional gains, I have not included these in my forecast as they are one-time in nature and do not represent sustainable recurring income. Therefore, the FY27 assumption is based primarily on the company's ongoing treasury and investment income</t>
        </r>
      </text>
    </comment>
    <comment ref="H18" authorId="0" shapeId="0" xr:uid="{67F791F8-61AA-4CAE-AFED-426508FD6A58}">
      <text>
        <r>
          <rPr>
            <b/>
            <sz val="9"/>
            <color indexed="81"/>
            <rFont val="Tahoma"/>
            <family val="2"/>
          </rPr>
          <t>Anvay:</t>
        </r>
        <r>
          <rPr>
            <sz val="9"/>
            <color indexed="81"/>
            <rFont val="Tahoma"/>
            <family val="2"/>
          </rPr>
          <t xml:space="preserve">
I have assumed Other Income of ₹6,200 crore for FY28. This reflects the expectation that a portion of the cash generated from asset monetization and strong operating cash flows could be deployed into treasury investments. As the investment portfolio grows, treasury income is also likely to increase. Therefore, I have assumed a moderate rise in Other Income from ₹5,500 crore in FY27 to ₹6,200 crore in FY28.</t>
        </r>
      </text>
    </comment>
    <comment ref="I18" authorId="0" shapeId="0" xr:uid="{942A40AC-A10D-4731-800B-A69048197EE8}">
      <text>
        <r>
          <rPr>
            <b/>
            <sz val="9"/>
            <color indexed="81"/>
            <rFont val="Tahoma"/>
            <family val="2"/>
          </rPr>
          <t>Anvay:</t>
        </r>
        <r>
          <rPr>
            <sz val="9"/>
            <color indexed="81"/>
            <rFont val="Tahoma"/>
            <family val="2"/>
          </rPr>
          <t xml:space="preserve">
I have assumed Other Income of ₹7,000 crore in FY29 and ₹8,000 crore in FY30. These estimates are based on the expectation that the business will continue to grow, generate stronger free cash flows, and build larger cash reserves over time. As a result, the company's investment portfolio could expand, leading to higher treasury income. These figures are not based on specific management guidance but represent growth-based estimates that reflect the expected increase in cash generation and investment income over the forecast period.</t>
        </r>
      </text>
    </comment>
    <comment ref="G19" authorId="0" shapeId="0" xr:uid="{34AD7D83-A014-4D73-99A5-7F30CD1990AC}">
      <text>
        <r>
          <rPr>
            <b/>
            <sz val="9"/>
            <color indexed="81"/>
            <rFont val="Tahoma"/>
            <family val="2"/>
          </rPr>
          <t>Anvay:</t>
        </r>
        <r>
          <rPr>
            <sz val="9"/>
            <color indexed="81"/>
            <rFont val="Tahoma"/>
            <family val="2"/>
          </rPr>
          <t xml:space="preserve">
FY26 interest expense was ₹10,056 crore, which serves as the base for my forecasts. I have assumed interest expense of ₹10,500 crore in FY27, reflecting the company's planned investments in areas such as data centers, electronics manufacturing, and shipyard upgrades. While a portion of these investments can be funded through internal cash generation, some may require additional borrowing. As a result, I expect interest costs to increase modestly from FY26 levels, making ₹10,500 crore a reasonable assumption for FY27.</t>
        </r>
      </text>
    </comment>
    <comment ref="H19" authorId="0" shapeId="0" xr:uid="{FCE65902-FBA7-472A-BA3E-9EB5707F171D}">
      <text>
        <r>
          <rPr>
            <b/>
            <sz val="9"/>
            <color indexed="81"/>
            <rFont val="Tahoma"/>
            <family val="2"/>
          </rPr>
          <t>Anvay:</t>
        </r>
        <r>
          <rPr>
            <sz val="9"/>
            <color indexed="81"/>
            <rFont val="Tahoma"/>
            <family val="2"/>
          </rPr>
          <t xml:space="preserve">
I have assumed interest expense of ₹11,000 crore in FY28, as this is expected to be one of the peak investment years under the company's growth strategy. During periods of elevated capital expenditure, borrowing requirements typically increase, which can lead to higher interest costs. Therefore, I expect interest expense to rise modestly from FY27 levels, making ₹11,000 crore a reasonable assumption for FY28.</t>
        </r>
      </text>
    </comment>
    <comment ref="I19" authorId="0" shapeId="0" xr:uid="{BD7BDD1A-CFC3-4DBA-B32E-5AD0AF7152E6}">
      <text>
        <r>
          <rPr>
            <b/>
            <sz val="9"/>
            <color indexed="81"/>
            <rFont val="Tahoma"/>
            <family val="2"/>
          </rPr>
          <t>Anvay:</t>
        </r>
        <r>
          <rPr>
            <sz val="9"/>
            <color indexed="81"/>
            <rFont val="Tahoma"/>
            <family val="2"/>
          </rPr>
          <t xml:space="preserve">
I have assumed interest expense of ₹10,500 crore in FY29. By this stage, some of the company's major investments are expected to become operational and begin generating revenue and cash flows. As profitability and cash generation improve, the need for additional borrowing may reduce, and the company could also begin repaying a portion of its debt. As a result, I expect interest expense to decline modestly from the peak levels assumed in FY28</t>
        </r>
      </text>
    </comment>
    <comment ref="J19" authorId="0" shapeId="0" xr:uid="{8A16C1A8-B0EF-4C7D-B41A-EE047185852E}">
      <text>
        <r>
          <rPr>
            <b/>
            <sz val="9"/>
            <color indexed="81"/>
            <rFont val="Tahoma"/>
            <family val="2"/>
          </rPr>
          <t>Anvay:</t>
        </r>
        <r>
          <rPr>
            <sz val="9"/>
            <color indexed="81"/>
            <rFont val="Tahoma"/>
            <family val="2"/>
          </rPr>
          <t xml:space="preserve">
I have assumed interest expense of ₹10,000 crore in FY30. By this stage, asset monetization initiatives such as the Hyderabad Metro and Nabha Power divestments are expected to be largely completed, which could help reduce debt on the balance sheet. In addition, newer businesses such as data centers, defense, and electronics are expected to contribute more meaningfully to cash flows. As a result, the company may have greater capacity to reduce borrowings over time, leading to a gradual decline in interest expense by FY30</t>
        </r>
      </text>
    </comment>
    <comment ref="B25" authorId="0" shapeId="0" xr:uid="{F7EC10C8-97D9-4832-8C93-76C547C3E3D7}">
      <text>
        <r>
          <rPr>
            <b/>
            <sz val="9"/>
            <color indexed="81"/>
            <rFont val="Tahoma"/>
            <family val="2"/>
          </rPr>
          <t>Anvay:</t>
        </r>
        <r>
          <rPr>
            <sz val="9"/>
            <color indexed="81"/>
            <rFont val="Tahoma"/>
            <family val="2"/>
          </rPr>
          <t xml:space="preserve">
NCI (Non Controlling Interest), also called Minority Interest, is the portion of a subsidiary's profit that belongs to shareholders other than L&amp;T.
For example, if L&amp;T owns 70% of a company and the remaining 30% is owned by public shareholders, then 30% of that company's profit belongs to those shareholders and is recorded as NCI.
For L&amp;T, NCI mainly comes from subsidiaries such as LTIMindtree, L&amp;T Technology Services, and L&amp;T Finance, where L&amp;T does not own 100% of the business.
Historically, NCI has increased steadily from ₹2,488 Cr in FY24 to ₹2,870 Cr in FY26, representing annual growth of around 7 to 8%.
</t>
        </r>
      </text>
    </comment>
    <comment ref="G25" authorId="0" shapeId="0" xr:uid="{5EDD3BB0-BC7D-48E6-9881-9E214E0BEA12}">
      <text>
        <r>
          <rPr>
            <b/>
            <sz val="9"/>
            <color indexed="81"/>
            <rFont val="Tahoma"/>
            <family val="2"/>
          </rPr>
          <t>Anvay:</t>
        </r>
        <r>
          <rPr>
            <sz val="9"/>
            <color indexed="81"/>
            <rFont val="Tahoma"/>
            <family val="2"/>
          </rPr>
          <t xml:space="preserve">
I have assumed Minority Interest of ₹3,300 crore in FY27, compared to ₹2,870 crore in FY26. This increase reflects the expected growth in L&amp;T's listed subsidiaries, particularly LTIMindtree, LTTS, and L&amp;T Finance. As these businesses expand and generate higher profits, the share of earnings attributable to minority shareholders is also likely to increase. Therefore, a higher Minority Interest assumption is consistent with the expected growth of the underlying subsidiaries.</t>
        </r>
      </text>
    </comment>
    <comment ref="H25" authorId="0" shapeId="0" xr:uid="{8ADA5BEF-1930-4135-82DB-B64834CC0D5E}">
      <text>
        <r>
          <rPr>
            <b/>
            <sz val="9"/>
            <color indexed="81"/>
            <rFont val="Tahoma"/>
            <family val="2"/>
          </rPr>
          <t>Anvay:</t>
        </r>
        <r>
          <rPr>
            <sz val="9"/>
            <color indexed="81"/>
            <rFont val="Tahoma"/>
            <family val="2"/>
          </rPr>
          <t xml:space="preserve">
I have assumed Minority Interest of ₹3,795 crore in FY28. This reflects the expectation that key subsidiaries, particularly the IT and technology businesses, will continue to scale their operations and improve profitability. As earnings grow across these businesses, the share of profits attributable to minority shareholders is also expected to increase. Therefore, I have assumed a higher Minority Interest figure for FY28 in line with the expected acceleration in subsidiary earnings.</t>
        </r>
      </text>
    </comment>
    <comment ref="I25" authorId="0" shapeId="0" xr:uid="{0E5DAFA8-A19E-4977-BB0B-C7494314405A}">
      <text>
        <r>
          <rPr>
            <b/>
            <sz val="9"/>
            <color indexed="81"/>
            <rFont val="Tahoma"/>
            <family val="2"/>
          </rPr>
          <t>Anvay:</t>
        </r>
        <r>
          <rPr>
            <sz val="9"/>
            <color indexed="81"/>
            <rFont val="Tahoma"/>
            <family val="2"/>
          </rPr>
          <t xml:space="preserve">
I have assumed Minority Interest of ₹4,365 crore in FY29, driven largely by the expected growth in L&amp;T Finance. As the company expands its loan book and improves profitability metrics such as ROA and ROE, earnings could increase meaningfully. Since a significant portion of L&amp;T Finance is owned by public shareholders, a large part of this profit growth would be reflected in Minority Interest. Therefore, I expect Minority Interest to rise in line with the stronger earnings contribution from L&amp;T Finance and other listed subsidiaries.</t>
        </r>
      </text>
    </comment>
    <comment ref="J25" authorId="0" shapeId="0" xr:uid="{4C9FCFAB-1864-4CB8-8BAE-8D00B5763811}">
      <text>
        <r>
          <rPr>
            <b/>
            <sz val="9"/>
            <color indexed="81"/>
            <rFont val="Tahoma"/>
            <family val="2"/>
          </rPr>
          <t>Anvay:</t>
        </r>
        <r>
          <rPr>
            <sz val="9"/>
            <color indexed="81"/>
            <rFont val="Tahoma"/>
            <family val="2"/>
          </rPr>
          <t xml:space="preserve">
I have assumed Minority Interest of ₹5,020 crore in FY30, reflecting strong growth and profitability across L&amp;T's key listed subsidiaries. This assumption is driven by the expectation that LTIMindtree continues to deliver strong revenue growth, LTTS benefits from sustained demand for engineering services, and L&amp;T Finance improves profitability in line with its long term targets. However, this is one of the more uncertain assumptions in the model, as Minority Interest depends directly on the performance of these subsidiaries. If any of them underperform relative to expectations, the Minority Interest estimate could be lower than projected.</t>
        </r>
      </text>
    </comment>
  </commentList>
</comments>
</file>

<file path=xl/sharedStrings.xml><?xml version="1.0" encoding="utf-8"?>
<sst xmlns="http://schemas.openxmlformats.org/spreadsheetml/2006/main" count="236" uniqueCount="190">
  <si>
    <t>LARSEN &amp; TOUBRO — KEY ASSUMPTIONS &amp; RESEARCH NOTES</t>
  </si>
  <si>
    <t>Historical Avg</t>
  </si>
  <si>
    <t>FY27E</t>
  </si>
  <si>
    <t>FY28E</t>
  </si>
  <si>
    <t>FY29E</t>
  </si>
  <si>
    <t>FY30E</t>
  </si>
  <si>
    <t>REVENUE DRIVERS &amp; ORDER BOOK</t>
  </si>
  <si>
    <t>Group Revenue (₹ Cr)</t>
  </si>
  <si>
    <t xml:space="preserve">    YoY Revenue Growth %</t>
  </si>
  <si>
    <t xml:space="preserve">    P&amp;M Revenue (₹ Cr)</t>
  </si>
  <si>
    <t xml:space="preserve">    Order Book (₹ Cr)</t>
  </si>
  <si>
    <t xml:space="preserve">    Order Inflow Growth %</t>
  </si>
  <si>
    <t>—</t>
  </si>
  <si>
    <t>COST STRUCTURE &amp; MARGIN ASSUMPTIONS</t>
  </si>
  <si>
    <t xml:space="preserve">  Material Cost % of Revenue</t>
  </si>
  <si>
    <t xml:space="preserve">  Employee Cost % of Revenue</t>
  </si>
  <si>
    <t xml:space="preserve">  Depreciation % of Revenue</t>
  </si>
  <si>
    <t xml:space="preserve">  Capex % of Revenue</t>
  </si>
  <si>
    <t xml:space="preserve">  Effective Tax Rate %</t>
  </si>
  <si>
    <t xml:space="preserve">  Net Working Capital % of Revenue</t>
  </si>
  <si>
    <t>TERMINAL VALUE ASSUMPTIONS</t>
  </si>
  <si>
    <t>Metric</t>
  </si>
  <si>
    <t>Year</t>
  </si>
  <si>
    <t>Guidance</t>
  </si>
  <si>
    <t>Actual</t>
  </si>
  <si>
    <t>Hit/Miss</t>
  </si>
  <si>
    <t>Revenue Growth</t>
  </si>
  <si>
    <t>FY26</t>
  </si>
  <si>
    <t>MISS</t>
  </si>
  <si>
    <t>FY25</t>
  </si>
  <si>
    <t>MEET</t>
  </si>
  <si>
    <t>FY24</t>
  </si>
  <si>
    <t>BEAT</t>
  </si>
  <si>
    <t>Order Inflow Growth</t>
  </si>
  <si>
    <t>~22%+</t>
  </si>
  <si>
    <t>10–15%</t>
  </si>
  <si>
    <t>~18%+</t>
  </si>
  <si>
    <t>P&amp;M EBITDA Margin</t>
  </si>
  <si>
    <t>+20bps</t>
  </si>
  <si>
    <t>−30bps</t>
  </si>
  <si>
    <t>NEAR MISS</t>
  </si>
  <si>
    <t>ROE Target</t>
  </si>
  <si>
    <t>18% (Lakshya26)</t>
  </si>
  <si>
    <t>15.5% (adj 16.6%)</t>
  </si>
  <si>
    <t>NWC/Revenue</t>
  </si>
  <si>
    <t>12%</t>
  </si>
  <si>
    <t>4.1%</t>
  </si>
  <si>
    <t>Revenue Guidance (FY27)</t>
  </si>
  <si>
    <t>FY27</t>
  </si>
  <si>
    <t>10-12%</t>
  </si>
  <si>
    <t>PENDING</t>
  </si>
  <si>
    <t>Order Inflow (FY27)</t>
  </si>
  <si>
    <t>ROE (Lakshya 31)</t>
  </si>
  <si>
    <t>FY31</t>
  </si>
  <si>
    <t>16-17%</t>
  </si>
  <si>
    <t>LARSEN &amp; TOUBRO — CONSOLIDATED INCOME STATEMENT  (₹ Crore)</t>
  </si>
  <si>
    <t>₹ Crore</t>
  </si>
  <si>
    <t>Net Revenue / Gross Revenue</t>
  </si>
  <si>
    <t xml:space="preserve">    YoY Growth %</t>
  </si>
  <si>
    <t xml:space="preserve">  Material &amp; Subcontracting</t>
  </si>
  <si>
    <t xml:space="preserve">    % of Revenue</t>
  </si>
  <si>
    <t xml:space="preserve">  Employee Costs</t>
  </si>
  <si>
    <t xml:space="preserve">  Manufacturing &amp; Other Opex</t>
  </si>
  <si>
    <t xml:space="preserve">  Other Operating Expenses</t>
  </si>
  <si>
    <t>EBITDA</t>
  </si>
  <si>
    <t xml:space="preserve">    EBITDA Margin %</t>
  </si>
  <si>
    <t xml:space="preserve">  Depreciation &amp; Amortisation</t>
  </si>
  <si>
    <t>EBIT</t>
  </si>
  <si>
    <t xml:space="preserve">    EBIT Margin %</t>
  </si>
  <si>
    <t xml:space="preserve">  Finance Costs / Interest</t>
  </si>
  <si>
    <t>Profit Before Tax (PBT)</t>
  </si>
  <si>
    <t xml:space="preserve">    PBT Margin %</t>
  </si>
  <si>
    <t xml:space="preserve">  Tax Expense</t>
  </si>
  <si>
    <t xml:space="preserve">    Effective Tax Rate %</t>
  </si>
  <si>
    <t>PAT (Total)</t>
  </si>
  <si>
    <t xml:space="preserve">  Minority Interest / NCI</t>
  </si>
  <si>
    <t>PAT Attributable to Owners</t>
  </si>
  <si>
    <t xml:space="preserve">    PAT Margin %</t>
  </si>
  <si>
    <t xml:space="preserve">  EPS (₹) — Basic</t>
  </si>
  <si>
    <t xml:space="preserve">  Shares Outstanding (Cr)</t>
  </si>
  <si>
    <t>WACC COMPUTATION — LARSEN &amp; TOUBRO</t>
  </si>
  <si>
    <t>Beta (β)</t>
  </si>
  <si>
    <t>Equity Risk Premium (ERP)</t>
  </si>
  <si>
    <t>Size / Illiquidity Premium</t>
  </si>
  <si>
    <t>Total Borrowings (₹ Cr)</t>
  </si>
  <si>
    <t>Interest Expense (₹ Cr)</t>
  </si>
  <si>
    <t>Effective Tax Rate</t>
  </si>
  <si>
    <t>Net Debt (₹ Cr)</t>
  </si>
  <si>
    <t>Enterprise Value Proxy (₹ Cr)</t>
  </si>
  <si>
    <t>WACC</t>
  </si>
  <si>
    <t>Terminal Growth Rate (g)</t>
  </si>
  <si>
    <t>PEER BENCHMARKING NOTE</t>
  </si>
  <si>
    <t>L&amp;T WACC of 13.9% is consistent with peer EPC / infrastructure conglomerates in India.
Siemens India Ke est. ~14%, WACC ~12-13% (lower leverage).
ABB India Ke est. ~14.5%, WACC ~13.5%.
L&amp;T's higher financial services leverage marginally elevates WACC vs pure EPC peers.</t>
  </si>
  <si>
    <t>LARSEN &amp; TOUBRO — DCF VALUATION  (₹ Crore, except per share figures)</t>
  </si>
  <si>
    <t>FREE CASH FLOW TO FIRM (FCFF) — PROJECTION</t>
  </si>
  <si>
    <t xml:space="preserve">  Less: Tax on EBIT (25.5%)</t>
  </si>
  <si>
    <t>NOPAT (Net Operating PAT)</t>
  </si>
  <si>
    <t xml:space="preserve">  Add: Depreciation &amp; Amort.</t>
  </si>
  <si>
    <t xml:space="preserve">  Less: Capital Expenditure</t>
  </si>
  <si>
    <t xml:space="preserve">  Less: Δ Net Working Capital</t>
  </si>
  <si>
    <t>Free Cash Flow to Firm (FCFF)</t>
  </si>
  <si>
    <t>Period (Mid-year Convention)</t>
  </si>
  <si>
    <t>PV of FCFF</t>
  </si>
  <si>
    <t>Terminal FCFF (FY30E × (1+g))</t>
  </si>
  <si>
    <t>Gordon Growth TV = TF÷(WACC−g)</t>
  </si>
  <si>
    <t>PV of Terminal Value</t>
  </si>
  <si>
    <t>PV of EV/EBITDA Terminal Value</t>
  </si>
  <si>
    <t>ENTERPRISE VALUE → EQUITY VALUE BRIDGE</t>
  </si>
  <si>
    <t>Sum of PV(FCFF) — Explicit Period</t>
  </si>
  <si>
    <t>PV of Terminal Value (Gordon)</t>
  </si>
  <si>
    <t>Enterprise Value (EV)</t>
  </si>
  <si>
    <t>Less: Net Debt (Debt − Cash)</t>
  </si>
  <si>
    <t>Less: Minority Interest (NCI)</t>
  </si>
  <si>
    <t>Add: Investments / Assoc. Value</t>
  </si>
  <si>
    <t>Equity Value (Owners)</t>
  </si>
  <si>
    <t>Shares Outstanding (Cr)</t>
  </si>
  <si>
    <t>IMPLIED SHARE PRICE (₹)</t>
  </si>
  <si>
    <t>Current Market Price (₹)</t>
  </si>
  <si>
    <t>Upside / (Downside) %</t>
  </si>
  <si>
    <t>ENTERPRISE VALUE (₹ Cr)</t>
  </si>
  <si>
    <t>EQUITY VALUE (₹ Cr)</t>
  </si>
  <si>
    <t>CURRENT PRICE (₹)</t>
  </si>
  <si>
    <t>UPSIDE / DOWNSIDE</t>
  </si>
  <si>
    <t>SENSITIVITY ANALYSIS — IMPLIED SHARE PRICE (₹)</t>
  </si>
  <si>
    <t>Table 1: Implied Share Price — WACC vs Terminal Growth Rate (g)</t>
  </si>
  <si>
    <t>LEGEND:</t>
  </si>
  <si>
    <t>FOOTBALL FIELD — VALUATION RANGE SUMMARY</t>
  </si>
  <si>
    <t>Methodology</t>
  </si>
  <si>
    <t>Low (₹)</t>
  </si>
  <si>
    <t>High (₹)</t>
  </si>
  <si>
    <t>52-Week Range</t>
  </si>
  <si>
    <t>VERDICT</t>
  </si>
  <si>
    <t>EBITDA (Cr)</t>
  </si>
  <si>
    <t xml:space="preserve">  Other Operating cost (%) Revenue</t>
  </si>
  <si>
    <t xml:space="preserve">  Other Income</t>
  </si>
  <si>
    <t>Cash</t>
  </si>
  <si>
    <t>EV/EBITDA Method</t>
  </si>
  <si>
    <t>Target Share Price (Blended)</t>
  </si>
  <si>
    <t>Cross-check: EV/EBITDA Exit (14x)</t>
  </si>
  <si>
    <t xml:space="preserve"> </t>
  </si>
  <si>
    <t>Terminal Growth Rate</t>
  </si>
  <si>
    <t>Exit EV/EBITDA Multiple</t>
  </si>
  <si>
    <t>Helper Column</t>
  </si>
  <si>
    <t>Table 1: Implied Share Price — WACC vs Exit EV/EBITDA Multiple</t>
  </si>
  <si>
    <t>≥₹4,000 (Strong Buy)</t>
  </si>
  <si>
    <t>₹3,500–₹4,000 (Hold/Fair Value)</t>
  </si>
  <si>
    <t>&lt;3,500 (Sell/Overvalued)</t>
  </si>
  <si>
    <t>DCF — Bear Case</t>
  </si>
  <si>
    <t>DCF — Base Case</t>
  </si>
  <si>
    <t>DCF — Bull Case</t>
  </si>
  <si>
    <t>EV/EBITDA (13.0x - 15.0x)</t>
  </si>
  <si>
    <t>Metrics</t>
  </si>
  <si>
    <t>Assumption</t>
  </si>
  <si>
    <t>Terminal EBITDA Margin</t>
  </si>
  <si>
    <t>EV/EBITDA Exit Multiple (cross-check)</t>
  </si>
  <si>
    <t>Value</t>
  </si>
  <si>
    <t>MANAGEMENT CREDIBILITY TRACKER — L&amp;T FY24–FY26</t>
  </si>
  <si>
    <r>
      <t xml:space="preserve">L&amp;T has a </t>
    </r>
    <r>
      <rPr>
        <b/>
        <i/>
        <sz val="9"/>
        <color rgb="FF003F72"/>
        <rFont val="Calibri"/>
        <family val="2"/>
      </rPr>
      <t>STRONG TRACK</t>
    </r>
    <r>
      <rPr>
        <i/>
        <sz val="9"/>
        <rFont val="Calibri"/>
        <family val="2"/>
      </rPr>
      <t xml:space="preserve"> record of winning new orders and has often received more orders than management initially expected. The company also has a large order book, which provides good visibility for future revenue.
However, </t>
    </r>
    <r>
      <rPr>
        <b/>
        <i/>
        <sz val="9"/>
        <color rgb="FF003F72"/>
        <rFont val="Calibri"/>
        <family val="2"/>
      </rPr>
      <t>revenue growth and margins</t>
    </r>
    <r>
      <rPr>
        <i/>
        <sz val="9"/>
        <rFont val="Calibri"/>
        <family val="2"/>
      </rPr>
      <t xml:space="preserve"> </t>
    </r>
    <r>
      <rPr>
        <b/>
        <i/>
        <sz val="9"/>
        <color rgb="FF003F72"/>
        <rFont val="Calibri"/>
        <family val="2"/>
      </rPr>
      <t>have not always been consistent</t>
    </r>
    <r>
      <rPr>
        <i/>
        <sz val="9"/>
        <rFont val="Calibri"/>
        <family val="2"/>
      </rPr>
      <t xml:space="preserve">. At times, results have been affected by project execution issues and external factors. In FY26, the weaker performance was mainly due to </t>
    </r>
    <r>
      <rPr>
        <b/>
        <i/>
        <sz val="9"/>
        <color rgb="FF003F72"/>
        <rFont val="Calibri"/>
        <family val="2"/>
      </rPr>
      <t xml:space="preserve">temporary external challenges </t>
    </r>
    <r>
      <rPr>
        <i/>
        <sz val="9"/>
        <rFont val="Calibri"/>
        <family val="2"/>
      </rPr>
      <t xml:space="preserve">rather than any major problem with the business itself.
Because of this, I prefer to use </t>
    </r>
    <r>
      <rPr>
        <b/>
        <i/>
        <sz val="9"/>
        <color rgb="FF003F72"/>
        <rFont val="Calibri"/>
        <family val="2"/>
      </rPr>
      <t>reasonable and balanced assumptions</t>
    </r>
    <r>
      <rPr>
        <i/>
        <sz val="9"/>
        <rFont val="Calibri"/>
        <family val="2"/>
      </rPr>
      <t xml:space="preserve"> for future growth and margins instead of relying completely on management guidance. I also take a </t>
    </r>
    <r>
      <rPr>
        <b/>
        <i/>
        <sz val="9"/>
        <color rgb="FF003F72"/>
        <rFont val="Calibri"/>
        <family val="2"/>
      </rPr>
      <t>slightly conservative approach</t>
    </r>
    <r>
      <rPr>
        <i/>
        <sz val="9"/>
        <rFont val="Calibri"/>
        <family val="2"/>
      </rPr>
      <t xml:space="preserve"> because the company has not always achieved some of its long-term profitability targets, such as ROE.</t>
    </r>
  </si>
  <si>
    <t>Particulars ₹ Crore</t>
  </si>
  <si>
    <t>1. COST OF EQUITY — CAPM</t>
  </si>
  <si>
    <t>Particulars</t>
  </si>
  <si>
    <t>Values</t>
  </si>
  <si>
    <r>
      <t>Risk Free Rate (R</t>
    </r>
    <r>
      <rPr>
        <vertAlign val="subscript"/>
        <sz val="10"/>
        <color rgb="FF000000"/>
        <rFont val="Calibri"/>
        <family val="2"/>
        <scheme val="minor"/>
      </rPr>
      <t>f</t>
    </r>
    <r>
      <rPr>
        <sz val="10"/>
        <color rgb="FF000000"/>
        <rFont val="Calibri"/>
        <family val="2"/>
        <scheme val="minor"/>
      </rPr>
      <t>)</t>
    </r>
  </si>
  <si>
    <r>
      <t>Pre-tax Cost of Debt (K</t>
    </r>
    <r>
      <rPr>
        <vertAlign val="subscript"/>
        <sz val="10"/>
        <color rgb="FF000000"/>
        <rFont val="Calibri"/>
        <family val="2"/>
        <scheme val="minor"/>
      </rPr>
      <t>d</t>
    </r>
    <r>
      <rPr>
        <sz val="10"/>
        <color rgb="FF000000"/>
        <rFont val="Calibri"/>
        <family val="2"/>
        <scheme val="minor"/>
      </rPr>
      <t>)</t>
    </r>
  </si>
  <si>
    <r>
      <t>Weight of Equity (W</t>
    </r>
    <r>
      <rPr>
        <vertAlign val="subscript"/>
        <sz val="10"/>
        <color rgb="FF000000"/>
        <rFont val="Calibri"/>
        <family val="2"/>
        <scheme val="minor"/>
      </rPr>
      <t>e</t>
    </r>
    <r>
      <rPr>
        <sz val="10"/>
        <color rgb="FF000000"/>
        <rFont val="Calibri"/>
        <family val="2"/>
        <scheme val="minor"/>
      </rPr>
      <t>)</t>
    </r>
  </si>
  <si>
    <r>
      <t>Weight of Debt (W</t>
    </r>
    <r>
      <rPr>
        <vertAlign val="subscript"/>
        <sz val="10"/>
        <color rgb="FF000000"/>
        <rFont val="Calibri"/>
        <family val="2"/>
        <scheme val="minor"/>
      </rPr>
      <t>d</t>
    </r>
    <r>
      <rPr>
        <sz val="10"/>
        <color rgb="FF000000"/>
        <rFont val="Calibri"/>
        <family val="2"/>
        <scheme val="minor"/>
      </rPr>
      <t>)</t>
    </r>
  </si>
  <si>
    <t>2. COST OF DEBT</t>
  </si>
  <si>
    <t>3. CAPITAL STRUCTURE</t>
  </si>
  <si>
    <t>4. WACC</t>
  </si>
  <si>
    <t xml:space="preserve">Market Cap </t>
  </si>
  <si>
    <t>Discounting</t>
  </si>
  <si>
    <t>Terminal Value</t>
  </si>
  <si>
    <r>
      <t>Cost of Equity (K</t>
    </r>
    <r>
      <rPr>
        <b/>
        <vertAlign val="subscript"/>
        <sz val="10"/>
        <color rgb="FF003F72"/>
        <rFont val="Calibri"/>
        <family val="2"/>
        <scheme val="minor"/>
      </rPr>
      <t>e</t>
    </r>
    <r>
      <rPr>
        <b/>
        <sz val="10"/>
        <color rgb="FF003F72"/>
        <rFont val="Calibri"/>
        <family val="2"/>
        <scheme val="minor"/>
      </rPr>
      <t>)</t>
    </r>
  </si>
  <si>
    <r>
      <t>After tax Cost of Debt (K</t>
    </r>
    <r>
      <rPr>
        <b/>
        <vertAlign val="subscript"/>
        <sz val="10"/>
        <color rgb="FF003F72"/>
        <rFont val="Calibri"/>
        <family val="2"/>
        <scheme val="minor"/>
      </rPr>
      <t>d</t>
    </r>
    <r>
      <rPr>
        <b/>
        <sz val="10"/>
        <color rgb="FF003F72"/>
        <rFont val="Calibri"/>
        <family val="2"/>
        <scheme val="minor"/>
      </rPr>
      <t>)</t>
    </r>
  </si>
  <si>
    <t>Growth Rate</t>
  </si>
  <si>
    <t>For Sensitivity Table (Note: Don’t do anything with this cells)'</t>
  </si>
  <si>
    <t>DCF Valuation &amp; Analysis</t>
  </si>
  <si>
    <t xml:space="preserve"> Forecasting Future Cash Flows.</t>
  </si>
  <si>
    <t xml:space="preserve"> Estimating Intrinsic Value.</t>
  </si>
  <si>
    <t>WORKBOOK NAVIGATION</t>
  </si>
  <si>
    <t>ASSUMPTIONS</t>
  </si>
  <si>
    <t>DCF
VALUATION</t>
  </si>
  <si>
    <t>COST OF CAPITAL
(WACC)</t>
  </si>
  <si>
    <t>FINANCIAL
STATEMENT</t>
  </si>
  <si>
    <t>MANAGEMENT
TRACKER</t>
  </si>
  <si>
    <t>FOOTBALL FIELD
ANALYSIS</t>
  </si>
  <si>
    <t>SENSITIVITY
ANALYSIS</t>
  </si>
  <si>
    <t>Change in Nwc</t>
  </si>
  <si>
    <t>NWC</t>
  </si>
  <si>
    <t>Working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</si>
</sst>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0%"/>
    <numFmt numFmtId="165" formatCode="0.0\x"/>
    <numFmt numFmtId="166" formatCode="#,##0.0"/>
    <numFmt numFmtId="167" formatCode="0.00\x"/>
    <numFmt numFmtId="168" formatCode="#,##0;\(#,##0\);\-"/>
    <numFmt numFmtId="169" formatCode="0.0"/>
    <numFmt numFmtId="170" formatCode="&quot;FY&quot;0"/>
    <numFmt numFmtId="171" formatCode="0.0&quot;x&quot;"/>
    <numFmt numFmtId="172" formatCode="&quot;FY&quot;0&quot;A&quot;"/>
    <numFmt numFmtId="173" formatCode="&quot;FY&quot;0&quot;E&quot;"/>
    <numFmt numFmtId="174" formatCode="_ [$₹-4009]\ * #,##0_ ;_ [$₹-4009]\ * \-#,##0_ ;_ [$₹-4009]\ * &quot;-&quot;??_ ;_ @_ "/>
    <numFmt numFmtId="175" formatCode="00000"/>
  </numFmts>
  <fonts count="64" x14ac:knownFonts="1">
    <font>
      <sz val="11"/>
      <color theme="1"/>
      <name val="Calibri"/>
      <family val="2"/>
      <charset val="1"/>
    </font>
    <font>
      <sz val="11"/>
      <color theme="1"/>
      <name val="Calibri"/>
      <family val="2"/>
    </font>
    <font>
      <b/>
      <sz val="12"/>
      <color rgb="FFFFFFFF"/>
      <name val="Calibri"/>
      <family val="2"/>
      <scheme val="minor"/>
    </font>
    <font>
      <b/>
      <sz val="10"/>
      <color rgb="FFFFFFFF"/>
      <name val="Calibri"/>
      <family val="2"/>
      <scheme val="minor"/>
    </font>
    <font>
      <sz val="11"/>
      <color theme="1"/>
      <name val="Calibri"/>
      <family val="2"/>
      <scheme val="minor"/>
    </font>
    <font>
      <i/>
      <sz val="8"/>
      <name val="Calibri"/>
      <family val="2"/>
      <scheme val="minor"/>
    </font>
    <font>
      <sz val="10"/>
      <color theme="1"/>
      <name val="Calibri"/>
      <family val="2"/>
      <scheme val="minor"/>
    </font>
    <font>
      <b/>
      <sz val="10"/>
      <color rgb="FF000000"/>
      <name val="Calibri"/>
      <family val="2"/>
      <scheme val="minor"/>
    </font>
    <font>
      <sz val="10"/>
      <color theme="1"/>
      <name val="Calibri"/>
      <family val="2"/>
    </font>
    <font>
      <sz val="10"/>
      <color rgb="FF000000"/>
      <name val="Calibri"/>
      <family val="2"/>
      <scheme val="minor"/>
    </font>
    <font>
      <sz val="10"/>
      <color rgb="FF0000FF"/>
      <name val="Calibri"/>
      <family val="2"/>
      <scheme val="minor"/>
    </font>
    <font>
      <b/>
      <sz val="9"/>
      <name val="Calibri"/>
      <family val="2"/>
      <scheme val="minor"/>
    </font>
    <font>
      <sz val="12"/>
      <color theme="1"/>
      <name val="Calibri"/>
      <family val="2"/>
      <scheme val="minor"/>
    </font>
    <font>
      <b/>
      <sz val="14"/>
      <color rgb="FFFFFFFF"/>
      <name val="Calibri"/>
      <family val="2"/>
      <scheme val="minor"/>
    </font>
    <font>
      <sz val="9"/>
      <color indexed="81"/>
      <name val="Tahoma"/>
      <family val="2"/>
    </font>
    <font>
      <b/>
      <sz val="9"/>
      <color indexed="81"/>
      <name val="Tahoma"/>
      <family val="2"/>
    </font>
    <font>
      <i/>
      <sz val="9"/>
      <color indexed="81"/>
      <name val="Tahoma"/>
      <family val="2"/>
    </font>
    <font>
      <b/>
      <sz val="10"/>
      <color theme="1"/>
      <name val="Calibri"/>
      <family val="2"/>
    </font>
    <font>
      <b/>
      <sz val="10"/>
      <color rgb="FF000000"/>
      <name val="Calibri"/>
      <family val="2"/>
    </font>
    <font>
      <b/>
      <sz val="10"/>
      <color rgb="FFFFFFFF"/>
      <name val="Calibri"/>
      <family val="2"/>
    </font>
    <font>
      <sz val="10"/>
      <color rgb="FF000000"/>
      <name val="Calibri"/>
      <family val="2"/>
    </font>
    <font>
      <b/>
      <sz val="11"/>
      <color theme="1"/>
      <name val="Calibri"/>
      <family val="2"/>
    </font>
    <font>
      <b/>
      <sz val="11"/>
      <color theme="1"/>
      <name val="Calibri"/>
      <family val="2"/>
      <scheme val="minor"/>
    </font>
    <font>
      <sz val="10"/>
      <color theme="0"/>
      <name val="Calibri"/>
      <family val="2"/>
      <scheme val="minor"/>
    </font>
    <font>
      <i/>
      <sz val="10"/>
      <color rgb="FF000000"/>
      <name val="Calibri"/>
      <family val="2"/>
      <scheme val="minor"/>
    </font>
    <font>
      <i/>
      <sz val="10"/>
      <color rgb="FF0000FF"/>
      <name val="Calibri"/>
      <family val="2"/>
      <scheme val="minor"/>
    </font>
    <font>
      <b/>
      <sz val="10"/>
      <color theme="0"/>
      <name val="Calibri"/>
      <family val="2"/>
      <scheme val="minor"/>
    </font>
    <font>
      <b/>
      <sz val="11"/>
      <color theme="0"/>
      <name val="Calibri"/>
      <family val="2"/>
    </font>
    <font>
      <b/>
      <sz val="14"/>
      <color rgb="FFFFFFFF"/>
      <name val="Calibri"/>
      <family val="2"/>
    </font>
    <font>
      <b/>
      <sz val="10"/>
      <color theme="0"/>
      <name val="Calibri"/>
      <family val="2"/>
    </font>
    <font>
      <i/>
      <sz val="9"/>
      <name val="Calibri"/>
      <family val="2"/>
    </font>
    <font>
      <b/>
      <i/>
      <sz val="9"/>
      <color rgb="FF003F72"/>
      <name val="Calibri"/>
      <family val="2"/>
    </font>
    <font>
      <sz val="11"/>
      <color rgb="FF000000"/>
      <name val="Calibri"/>
      <family val="2"/>
    </font>
    <font>
      <sz val="11"/>
      <color rgb="FF0000FF"/>
      <name val="Calibri"/>
      <family val="2"/>
    </font>
    <font>
      <b/>
      <sz val="10"/>
      <color rgb="FF003F72"/>
      <name val="Calibri"/>
      <family val="2"/>
    </font>
    <font>
      <vertAlign val="subscript"/>
      <sz val="10"/>
      <color rgb="FF000000"/>
      <name val="Calibri"/>
      <family val="2"/>
      <scheme val="minor"/>
    </font>
    <font>
      <b/>
      <sz val="16"/>
      <color rgb="FFFFFFFF"/>
      <name val="Calibri"/>
      <family val="2"/>
    </font>
    <font>
      <b/>
      <sz val="16"/>
      <color rgb="FFFFFFFF"/>
      <name val="Calibri"/>
      <family val="2"/>
      <scheme val="minor"/>
    </font>
    <font>
      <b/>
      <sz val="10"/>
      <color rgb="FF003F72"/>
      <name val="Calibri"/>
      <family val="2"/>
      <scheme val="minor"/>
    </font>
    <font>
      <b/>
      <sz val="10"/>
      <color rgb="FF1F5F9B"/>
      <name val="Calibri"/>
      <family val="2"/>
      <scheme val="minor"/>
    </font>
    <font>
      <sz val="10"/>
      <color rgb="FF1F5F9B"/>
      <name val="Calibri"/>
      <family val="2"/>
      <scheme val="minor"/>
    </font>
    <font>
      <b/>
      <vertAlign val="subscript"/>
      <sz val="10"/>
      <color rgb="FF003F72"/>
      <name val="Calibri"/>
      <family val="2"/>
      <scheme val="minor"/>
    </font>
    <font>
      <sz val="10"/>
      <color rgb="FF003F72"/>
      <name val="Calibri"/>
      <family val="2"/>
      <scheme val="minor"/>
    </font>
    <font>
      <b/>
      <sz val="13"/>
      <color rgb="FF003F72"/>
      <name val="Calibri"/>
      <family val="2"/>
    </font>
    <font>
      <b/>
      <sz val="13"/>
      <color rgb="FF003F72"/>
      <name val="Calibri"/>
      <family val="2"/>
      <scheme val="minor"/>
    </font>
    <font>
      <b/>
      <sz val="16"/>
      <color rgb="FF000000"/>
      <name val="Calibri"/>
      <family val="2"/>
      <scheme val="minor"/>
    </font>
    <font>
      <b/>
      <sz val="16"/>
      <name val="Calibri"/>
      <family val="2"/>
      <scheme val="minor"/>
    </font>
    <font>
      <b/>
      <sz val="16"/>
      <color theme="0"/>
      <name val="Calibri"/>
      <family val="2"/>
      <scheme val="minor"/>
    </font>
    <font>
      <i/>
      <sz val="9"/>
      <color theme="0" tint="-0.499984740745262"/>
      <name val="Calibri"/>
      <family val="2"/>
    </font>
    <font>
      <i/>
      <sz val="11"/>
      <color theme="0" tint="-0.499984740745262"/>
      <name val="Calibri"/>
      <family val="2"/>
    </font>
    <font>
      <i/>
      <sz val="9"/>
      <color theme="0" tint="-0.499984740745262"/>
      <name val="Calibri"/>
      <family val="2"/>
      <scheme val="minor"/>
    </font>
    <font>
      <sz val="11"/>
      <color theme="1"/>
      <name val="Arial"/>
      <family val="2"/>
    </font>
    <font>
      <b/>
      <sz val="18"/>
      <color rgb="FF1F5F9B"/>
      <name val="Calibri"/>
      <family val="2"/>
    </font>
    <font>
      <b/>
      <sz val="13"/>
      <color rgb="FF1F5F9B"/>
      <name val="Calibri"/>
      <family val="2"/>
    </font>
    <font>
      <b/>
      <sz val="14"/>
      <color theme="0"/>
      <name val="Calibri"/>
      <family val="2"/>
    </font>
    <font>
      <b/>
      <sz val="11"/>
      <color rgb="FF244062"/>
      <name val="Calibri"/>
      <family val="2"/>
    </font>
    <font>
      <u/>
      <sz val="11"/>
      <color theme="10"/>
      <name val="Calibri"/>
      <family val="2"/>
      <charset val="1"/>
    </font>
    <font>
      <b/>
      <u/>
      <sz val="11"/>
      <color rgb="FF1F5F9B"/>
      <name val="Calibri"/>
      <family val="2"/>
    </font>
    <font>
      <b/>
      <sz val="10"/>
      <color rgb="FF0000FF"/>
      <name val="Calibri"/>
      <family val="2"/>
      <scheme val="minor"/>
    </font>
    <font>
      <b/>
      <sz val="10"/>
      <color theme="1"/>
      <name val="Calibri"/>
      <family val="2"/>
      <scheme val="minor"/>
    </font>
    <font>
      <sz val="10"/>
      <color rgb="FF0000FF"/>
      <name val="Calibri"/>
      <family val="2"/>
    </font>
    <font>
      <b/>
      <sz val="10"/>
      <color rgb="FF0000FF"/>
      <name val="Calibri"/>
      <family val="2"/>
    </font>
    <font>
      <i/>
      <sz val="10"/>
      <color theme="0" tint="-0.34998626667073579"/>
      <name val="Calibri"/>
      <family val="2"/>
      <scheme val="minor"/>
    </font>
    <font>
      <i/>
      <sz val="10"/>
      <color theme="0" tint="-0.34998626667073579"/>
      <name val="Calibri"/>
      <family val="2"/>
    </font>
  </fonts>
  <fills count="39">
    <fill>
      <patternFill patternType="none"/>
    </fill>
    <fill>
      <patternFill patternType="gray125"/>
    </fill>
    <fill>
      <patternFill patternType="solid">
        <fgColor rgb="FF1F3864"/>
        <bgColor rgb="FF333333"/>
      </patternFill>
    </fill>
    <fill>
      <patternFill patternType="solid">
        <fgColor rgb="FF2E75B6"/>
        <bgColor rgb="FF4472C4"/>
      </patternFill>
    </fill>
    <fill>
      <patternFill patternType="solid">
        <fgColor rgb="FFD6E4F0"/>
        <bgColor rgb="FFC6EFCE"/>
      </patternFill>
    </fill>
    <fill>
      <patternFill patternType="solid">
        <fgColor rgb="FFFFFFFF"/>
        <bgColor rgb="FFF2F2F2"/>
      </patternFill>
    </fill>
    <fill>
      <patternFill patternType="solid">
        <fgColor rgb="FFFFC7CE"/>
        <bgColor rgb="FFFCE4D6"/>
      </patternFill>
    </fill>
    <fill>
      <patternFill patternType="solid">
        <fgColor rgb="FFFFEB9C"/>
        <bgColor rgb="FFFCE4D6"/>
      </patternFill>
    </fill>
    <fill>
      <patternFill patternType="solid">
        <fgColor rgb="FFC6EFCE"/>
        <bgColor rgb="FFD6E4F0"/>
      </patternFill>
    </fill>
    <fill>
      <patternFill patternType="solid">
        <fgColor rgb="FF808080"/>
        <bgColor rgb="FF666699"/>
      </patternFill>
    </fill>
    <fill>
      <patternFill patternType="solid">
        <fgColor theme="0"/>
        <bgColor rgb="FFC6EFCE"/>
      </patternFill>
    </fill>
    <fill>
      <patternFill patternType="solid">
        <fgColor theme="0"/>
        <bgColor indexed="64"/>
      </patternFill>
    </fill>
    <fill>
      <patternFill patternType="solid">
        <fgColor theme="0"/>
        <bgColor rgb="FFF2F2F2"/>
      </patternFill>
    </fill>
    <fill>
      <patternFill patternType="solid">
        <fgColor rgb="FF003F72"/>
        <bgColor rgb="FF333333"/>
      </patternFill>
    </fill>
    <fill>
      <patternFill patternType="solid">
        <fgColor rgb="FF1F5F9B"/>
        <bgColor rgb="FF333333"/>
      </patternFill>
    </fill>
    <fill>
      <patternFill patternType="solid">
        <fgColor rgb="FFEAF3FB"/>
        <bgColor rgb="FFC6EFCE"/>
      </patternFill>
    </fill>
    <fill>
      <patternFill patternType="solid">
        <fgColor rgb="FFF7F9FC"/>
        <bgColor rgb="FFC6EFCE"/>
      </patternFill>
    </fill>
    <fill>
      <patternFill patternType="solid">
        <fgColor theme="0"/>
        <bgColor rgb="FF333333"/>
      </patternFill>
    </fill>
    <fill>
      <patternFill patternType="solid">
        <fgColor rgb="FFFDF0CA"/>
        <bgColor rgb="FFFFFF00"/>
      </patternFill>
    </fill>
    <fill>
      <patternFill patternType="solid">
        <fgColor rgb="FFEAF3FB"/>
        <bgColor rgb="FFFFFFFF"/>
      </patternFill>
    </fill>
    <fill>
      <patternFill patternType="solid">
        <fgColor rgb="FF003F72"/>
        <bgColor rgb="FF4472C4"/>
      </patternFill>
    </fill>
    <fill>
      <patternFill patternType="solid">
        <fgColor rgb="FF003F72"/>
        <bgColor indexed="64"/>
      </patternFill>
    </fill>
    <fill>
      <patternFill patternType="solid">
        <fgColor rgb="FFEAF3FB"/>
        <bgColor rgb="FFF2F2F2"/>
      </patternFill>
    </fill>
    <fill>
      <patternFill patternType="solid">
        <fgColor rgb="FF1F5F9B"/>
        <bgColor indexed="64"/>
      </patternFill>
    </fill>
    <fill>
      <patternFill patternType="solid">
        <fgColor rgb="FFFDEAA7"/>
        <bgColor rgb="FFFFFF00"/>
      </patternFill>
    </fill>
    <fill>
      <patternFill patternType="solid">
        <fgColor rgb="FF1F5F9B"/>
        <bgColor rgb="FFC6EFCE"/>
      </patternFill>
    </fill>
    <fill>
      <patternFill patternType="solid">
        <fgColor theme="0"/>
        <bgColor rgb="FFFFFF00"/>
      </patternFill>
    </fill>
    <fill>
      <patternFill patternType="solid">
        <fgColor rgb="FFFFFF00"/>
        <bgColor indexed="64"/>
      </patternFill>
    </fill>
    <fill>
      <patternFill patternType="solid">
        <fgColor rgb="FF1F5F9B"/>
        <bgColor rgb="FF4472C4"/>
      </patternFill>
    </fill>
    <fill>
      <patternFill patternType="solid">
        <fgColor theme="8" tint="-0.249977111117893"/>
        <bgColor rgb="FF4472C4"/>
      </patternFill>
    </fill>
    <fill>
      <patternFill patternType="solid">
        <fgColor rgb="FFC27A21"/>
        <bgColor rgb="FFFFFF00"/>
      </patternFill>
    </fill>
    <fill>
      <patternFill patternType="solid">
        <fgColor theme="8" tint="0.39997558519241921"/>
        <bgColor indexed="64"/>
      </patternFill>
    </fill>
    <fill>
      <patternFill patternType="solid">
        <fgColor theme="0" tint="-0.499984740745262"/>
        <bgColor indexed="64"/>
      </patternFill>
    </fill>
    <fill>
      <patternFill patternType="solid">
        <fgColor theme="9" tint="-0.499984740745262"/>
        <bgColor indexed="64"/>
      </patternFill>
    </fill>
    <fill>
      <patternFill patternType="solid">
        <fgColor rgb="FF244062"/>
        <bgColor rgb="FFD6E4F0"/>
      </patternFill>
    </fill>
    <fill>
      <patternFill patternType="solid">
        <fgColor rgb="FF8198B4"/>
        <bgColor rgb="FFFCE4D6"/>
      </patternFill>
    </fill>
    <fill>
      <patternFill patternType="solid">
        <fgColor rgb="FFAEC3DB"/>
        <bgColor rgb="FFF2F2F2"/>
      </patternFill>
    </fill>
    <fill>
      <patternFill patternType="solid">
        <fgColor rgb="FF244062"/>
        <bgColor indexed="64"/>
      </patternFill>
    </fill>
    <fill>
      <patternFill patternType="solid">
        <fgColor rgb="FF2E75B6"/>
        <bgColor rgb="FF333333"/>
      </patternFill>
    </fill>
  </fills>
  <borders count="75">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right/>
      <top/>
      <bottom style="thick">
        <color rgb="FF003F72"/>
      </bottom>
      <diagonal/>
    </border>
    <border>
      <left/>
      <right style="thin">
        <color rgb="FFBFBFBF"/>
      </right>
      <top style="thin">
        <color theme="0"/>
      </top>
      <bottom/>
      <diagonal/>
    </border>
    <border>
      <left style="thin">
        <color rgb="FFBFBFBF"/>
      </left>
      <right style="thin">
        <color rgb="FFBFBFBF"/>
      </right>
      <top style="thin">
        <color theme="0"/>
      </top>
      <bottom/>
      <diagonal/>
    </border>
    <border>
      <left style="thin">
        <color rgb="FFBFBFBF"/>
      </left>
      <right style="thin">
        <color theme="0"/>
      </right>
      <top style="thin">
        <color theme="0"/>
      </top>
      <bottom/>
      <diagonal/>
    </border>
    <border>
      <left/>
      <right style="thin">
        <color theme="0"/>
      </right>
      <top style="thin">
        <color theme="0"/>
      </top>
      <bottom style="thin">
        <color theme="0"/>
      </bottom>
      <diagonal/>
    </border>
    <border>
      <left style="thin">
        <color rgb="FFBFBFBF"/>
      </left>
      <right style="thin">
        <color rgb="FFBFBFBF"/>
      </right>
      <top/>
      <bottom style="thin">
        <color rgb="FFBFBFB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diagonal/>
    </border>
    <border>
      <left style="thin">
        <color theme="0" tint="-0.14996795556505021"/>
      </left>
      <right style="thin">
        <color theme="0" tint="-0.14996795556505021"/>
      </right>
      <top/>
      <bottom style="thin">
        <color theme="0" tint="-0.14993743705557422"/>
      </bottom>
      <diagonal/>
    </border>
    <border>
      <left/>
      <right style="thin">
        <color theme="0"/>
      </right>
      <top style="thin">
        <color theme="0"/>
      </top>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medium">
        <color rgb="FF003F72"/>
      </top>
      <bottom/>
      <diagonal/>
    </border>
    <border>
      <left style="thin">
        <color theme="0" tint="-0.14990691854609822"/>
      </left>
      <right style="thin">
        <color theme="0" tint="-0.14990691854609822"/>
      </right>
      <top/>
      <bottom style="thin">
        <color theme="0" tint="-0.14993743705557422"/>
      </bottom>
      <diagonal/>
    </border>
    <border>
      <left style="thin">
        <color theme="0" tint="-0.14996795556505021"/>
      </left>
      <right style="thin">
        <color theme="0" tint="-0.14996795556505021"/>
      </right>
      <top/>
      <bottom style="medium">
        <color rgb="FF003F72"/>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tint="-0.14996795556505021"/>
      </left>
      <right style="thin">
        <color theme="0" tint="-0.14996795556505021"/>
      </right>
      <top style="thin">
        <color theme="0"/>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6795556505021"/>
      </bottom>
      <diagonal/>
    </border>
    <border>
      <left/>
      <right/>
      <top style="thin">
        <color theme="0"/>
      </top>
      <bottom/>
      <diagonal/>
    </border>
    <border>
      <left style="thin">
        <color theme="0" tint="-0.14993743705557422"/>
      </left>
      <right/>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rgb="FF003F72"/>
      </left>
      <right style="thin">
        <color rgb="FF003F72"/>
      </right>
      <top style="thin">
        <color rgb="FF003F72"/>
      </top>
      <bottom style="thin">
        <color rgb="FF003F72"/>
      </bottom>
      <diagonal/>
    </border>
    <border>
      <left style="thin">
        <color rgb="FF003F72"/>
      </left>
      <right/>
      <top style="thin">
        <color rgb="FF003F72"/>
      </top>
      <bottom/>
      <diagonal/>
    </border>
    <border>
      <left/>
      <right/>
      <top style="thin">
        <color rgb="FF003F72"/>
      </top>
      <bottom/>
      <diagonal/>
    </border>
    <border>
      <left/>
      <right style="thin">
        <color rgb="FF003F72"/>
      </right>
      <top style="thin">
        <color rgb="FF003F72"/>
      </top>
      <bottom/>
      <diagonal/>
    </border>
    <border>
      <left style="thin">
        <color rgb="FF003F72"/>
      </left>
      <right/>
      <top/>
      <bottom/>
      <diagonal/>
    </border>
    <border>
      <left/>
      <right style="thin">
        <color rgb="FF003F72"/>
      </right>
      <top/>
      <bottom/>
      <diagonal/>
    </border>
    <border>
      <left style="thin">
        <color rgb="FF003F72"/>
      </left>
      <right/>
      <top/>
      <bottom style="thin">
        <color rgb="FF003F72"/>
      </bottom>
      <diagonal/>
    </border>
    <border>
      <left/>
      <right/>
      <top/>
      <bottom style="thin">
        <color rgb="FF003F72"/>
      </bottom>
      <diagonal/>
    </border>
    <border>
      <left/>
      <right style="thin">
        <color rgb="FF003F72"/>
      </right>
      <top/>
      <bottom style="thin">
        <color rgb="FF003F72"/>
      </bottom>
      <diagonal/>
    </border>
    <border>
      <left/>
      <right style="thin">
        <color theme="0" tint="-0.14996795556505021"/>
      </right>
      <top style="thin">
        <color theme="0" tint="-0.14993743705557422"/>
      </top>
      <bottom/>
      <diagonal/>
    </border>
    <border>
      <left/>
      <right style="thin">
        <color theme="0" tint="-0.14996795556505021"/>
      </right>
      <top/>
      <bottom style="thin">
        <color theme="0" tint="-0.14993743705557422"/>
      </bottom>
      <diagonal/>
    </border>
    <border>
      <left/>
      <right style="thin">
        <color theme="0" tint="-0.14996795556505021"/>
      </right>
      <top/>
      <bottom/>
      <diagonal/>
    </border>
    <border>
      <left/>
      <right style="thin">
        <color theme="0" tint="-0.14996795556505021"/>
      </right>
      <top style="medium">
        <color rgb="FF003F72"/>
      </top>
      <bottom/>
      <diagonal/>
    </border>
    <border>
      <left/>
      <right style="thin">
        <color theme="0" tint="-0.14996795556505021"/>
      </right>
      <top style="thin">
        <color theme="0" tint="-0.14993743705557422"/>
      </top>
      <bottom style="thin">
        <color theme="0" tint="-0.14993743705557422"/>
      </bottom>
      <diagonal/>
    </border>
    <border>
      <left/>
      <right style="thin">
        <color theme="0" tint="-0.14990691854609822"/>
      </right>
      <top/>
      <bottom style="thin">
        <color theme="0" tint="-0.14993743705557422"/>
      </bottom>
      <diagonal/>
    </border>
    <border>
      <left/>
      <right style="thin">
        <color theme="0" tint="-0.14996795556505021"/>
      </right>
      <top/>
      <bottom style="medium">
        <color rgb="FF003F72"/>
      </bottom>
      <diagonal/>
    </border>
    <border>
      <left style="thin">
        <color theme="0" tint="-0.14996795556505021"/>
      </left>
      <right style="medium">
        <color theme="0" tint="-0.24994659260841701"/>
      </right>
      <top style="thin">
        <color theme="0" tint="-0.14993743705557422"/>
      </top>
      <bottom/>
      <diagonal/>
    </border>
    <border>
      <left style="thin">
        <color theme="0" tint="-0.14996795556505021"/>
      </left>
      <right style="medium">
        <color theme="0" tint="-0.24994659260841701"/>
      </right>
      <top/>
      <bottom style="thin">
        <color theme="0" tint="-0.14993743705557422"/>
      </bottom>
      <diagonal/>
    </border>
    <border>
      <left style="thin">
        <color theme="0" tint="-0.14996795556505021"/>
      </left>
      <right style="medium">
        <color theme="0" tint="-0.24994659260841701"/>
      </right>
      <top/>
      <bottom/>
      <diagonal/>
    </border>
    <border>
      <left style="thin">
        <color theme="0" tint="-0.14996795556505021"/>
      </left>
      <right style="medium">
        <color theme="0" tint="-0.24994659260841701"/>
      </right>
      <top style="medium">
        <color rgb="FF003F72"/>
      </top>
      <bottom/>
      <diagonal/>
    </border>
    <border>
      <left style="thin">
        <color theme="0" tint="-0.14996795556505021"/>
      </left>
      <right style="medium">
        <color theme="0" tint="-0.24994659260841701"/>
      </right>
      <top style="thin">
        <color theme="0" tint="-0.14993743705557422"/>
      </top>
      <bottom style="thin">
        <color theme="0" tint="-0.14993743705557422"/>
      </bottom>
      <diagonal/>
    </border>
    <border>
      <left style="thin">
        <color theme="0" tint="-0.14990691854609822"/>
      </left>
      <right style="medium">
        <color theme="0" tint="-0.24994659260841701"/>
      </right>
      <top/>
      <bottom style="thin">
        <color theme="0" tint="-0.14993743705557422"/>
      </bottom>
      <diagonal/>
    </border>
    <border>
      <left style="thin">
        <color theme="0" tint="-0.14996795556505021"/>
      </left>
      <right style="medium">
        <color theme="0" tint="-0.24994659260841701"/>
      </right>
      <top/>
      <bottom style="medium">
        <color rgb="FF003F72"/>
      </bottom>
      <diagonal/>
    </border>
    <border>
      <left/>
      <right style="thin">
        <color theme="0" tint="-0.14990691854609822"/>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3743705557422"/>
      </bottom>
      <diagonal/>
    </border>
    <border>
      <left style="thin">
        <color theme="0" tint="-0.14990691854609822"/>
      </left>
      <right style="medium">
        <color theme="0" tint="-0.24994659260841701"/>
      </right>
      <top style="thin">
        <color theme="0" tint="-0.14993743705557422"/>
      </top>
      <bottom style="thin">
        <color theme="0" tint="-0.14990691854609822"/>
      </bottom>
      <diagonal/>
    </border>
    <border>
      <left style="thin">
        <color theme="0" tint="-0.14990691854609822"/>
      </left>
      <right style="medium">
        <color theme="0" tint="-0.24994659260841701"/>
      </right>
      <top style="thin">
        <color theme="0" tint="-0.14990691854609822"/>
      </top>
      <bottom style="thin">
        <color theme="0" tint="-0.1498764000366222"/>
      </bottom>
      <diagonal/>
    </border>
    <border>
      <left style="thin">
        <color theme="0" tint="-0.14996795556505021"/>
      </left>
      <right style="thin">
        <color theme="0" tint="-0.14996795556505021"/>
      </right>
      <top style="thin">
        <color theme="0"/>
      </top>
      <bottom style="thin">
        <color theme="0" tint="-0.14996795556505021"/>
      </bottom>
      <diagonal/>
    </border>
    <border>
      <left style="thin">
        <color theme="0" tint="-0.14996795556505021"/>
      </left>
      <right style="thin">
        <color theme="0" tint="-0.14996795556505021"/>
      </right>
      <top style="thin">
        <color theme="0" tint="-0.14996795556505021"/>
      </top>
      <bottom style="thin">
        <color rgb="FFBFBFBF"/>
      </bottom>
      <diagonal/>
    </border>
    <border>
      <left style="thin">
        <color theme="0" tint="-0.14996795556505021"/>
      </left>
      <right/>
      <top/>
      <bottom/>
      <diagonal/>
    </border>
    <border>
      <left style="thin">
        <color theme="0" tint="-0.14996795556505021"/>
      </left>
      <right/>
      <top/>
      <bottom style="thin">
        <color theme="0" tint="-0.14993743705557422"/>
      </bottom>
      <diagonal/>
    </border>
    <border>
      <left/>
      <right/>
      <top/>
      <bottom style="thin">
        <color theme="0" tint="-0.14993743705557422"/>
      </bottom>
      <diagonal/>
    </border>
    <border>
      <left/>
      <right/>
      <top style="medium">
        <color rgb="FFFFC000"/>
      </top>
      <bottom/>
      <diagonal/>
    </border>
    <border>
      <left style="thick">
        <color rgb="FF244062"/>
      </left>
      <right/>
      <top/>
      <bottom/>
      <diagonal/>
    </border>
    <border>
      <left/>
      <right/>
      <top/>
      <bottom style="medium">
        <color rgb="FFFFC000"/>
      </bottom>
      <diagonal/>
    </border>
    <border>
      <left/>
      <right/>
      <top/>
      <bottom style="medium">
        <color theme="0" tint="-0.34998626667073579"/>
      </bottom>
      <diagonal/>
    </border>
    <border>
      <left style="thin">
        <color theme="0" tint="-0.14996795556505021"/>
      </left>
      <right style="medium">
        <color theme="0" tint="-0.24994659260841701"/>
      </right>
      <top style="thin">
        <color theme="0" tint="-0.14996795556505021"/>
      </top>
      <bottom style="thin">
        <color theme="0" tint="-0.14996795556505021"/>
      </bottom>
      <diagonal/>
    </border>
    <border>
      <left/>
      <right style="thin">
        <color rgb="FFBFBFBF"/>
      </right>
      <top style="thin">
        <color rgb="FFBFBFBF"/>
      </top>
      <bottom style="thin">
        <color rgb="FFBFBFBF"/>
      </bottom>
      <diagonal/>
    </border>
  </borders>
  <cellStyleXfs count="2">
    <xf numFmtId="0" fontId="0" fillId="0" borderId="0"/>
    <xf numFmtId="0" fontId="56" fillId="0" borderId="0" applyNumberFormat="0" applyFill="0" applyBorder="0" applyAlignment="0" applyProtection="0"/>
  </cellStyleXfs>
  <cellXfs count="376">
    <xf numFmtId="0" fontId="0" fillId="0" borderId="0" xfId="0"/>
    <xf numFmtId="175" fontId="0" fillId="0" borderId="0" xfId="0" applyNumberFormat="1" applyProtection="1">
      <protection locked="0"/>
    </xf>
    <xf numFmtId="175" fontId="0" fillId="0" borderId="0" xfId="0" applyNumberFormat="1"/>
    <xf numFmtId="175" fontId="52" fillId="0" borderId="0" xfId="0" applyNumberFormat="1" applyFont="1"/>
    <xf numFmtId="175" fontId="0" fillId="0" borderId="69" xfId="0" applyNumberFormat="1" applyBorder="1"/>
    <xf numFmtId="175" fontId="53" fillId="0" borderId="70" xfId="0" applyNumberFormat="1" applyFont="1" applyBorder="1"/>
    <xf numFmtId="175" fontId="51" fillId="0" borderId="0" xfId="0" applyNumberFormat="1" applyFont="1"/>
    <xf numFmtId="175" fontId="0" fillId="0" borderId="72" xfId="0" applyNumberFormat="1" applyBorder="1"/>
    <xf numFmtId="0" fontId="0" fillId="0" borderId="0" xfId="0" applyProtection="1">
      <protection locked="0"/>
    </xf>
    <xf numFmtId="0" fontId="3" fillId="13" borderId="1" xfId="0" applyFont="1" applyFill="1" applyBorder="1" applyAlignment="1" applyProtection="1">
      <alignment horizontal="center" vertical="center" wrapText="1"/>
      <protection locked="0"/>
    </xf>
    <xf numFmtId="172" fontId="3" fillId="13"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0" fontId="3" fillId="14" borderId="0" xfId="0" applyFont="1" applyFill="1" applyAlignment="1" applyProtection="1">
      <alignment vertical="center"/>
      <protection locked="0"/>
    </xf>
    <xf numFmtId="0" fontId="3" fillId="14" borderId="0" xfId="0" applyFont="1" applyFill="1" applyAlignment="1" applyProtection="1">
      <alignment vertical="center" wrapText="1"/>
      <protection locked="0"/>
    </xf>
    <xf numFmtId="0" fontId="7" fillId="15" borderId="5" xfId="0" applyFont="1" applyFill="1" applyBorder="1" applyAlignment="1" applyProtection="1">
      <alignment horizontal="left" vertical="center"/>
      <protection locked="0"/>
    </xf>
    <xf numFmtId="0" fontId="6" fillId="15" borderId="6" xfId="0" applyFont="1" applyFill="1" applyBorder="1" applyAlignment="1" applyProtection="1">
      <alignment horizontal="center" vertical="center"/>
      <protection locked="0"/>
    </xf>
    <xf numFmtId="174" fontId="58" fillId="15" borderId="6" xfId="0" applyNumberFormat="1" applyFont="1" applyFill="1" applyBorder="1" applyAlignment="1" applyProtection="1">
      <alignment horizontal="center" vertical="center"/>
      <protection locked="0"/>
    </xf>
    <xf numFmtId="174" fontId="58" fillId="15" borderId="73" xfId="0" applyNumberFormat="1" applyFont="1" applyFill="1" applyBorder="1" applyAlignment="1" applyProtection="1">
      <alignment horizontal="center" vertical="center"/>
      <protection locked="0"/>
    </xf>
    <xf numFmtId="0" fontId="8" fillId="0" borderId="0" xfId="0" applyFont="1" applyProtection="1">
      <protection locked="0"/>
    </xf>
    <xf numFmtId="0" fontId="9" fillId="12" borderId="5" xfId="0" applyFont="1" applyFill="1" applyBorder="1" applyAlignment="1" applyProtection="1">
      <alignment horizontal="left" vertical="center"/>
      <protection locked="0"/>
    </xf>
    <xf numFmtId="164" fontId="25" fillId="12" borderId="6" xfId="0" applyNumberFormat="1" applyFont="1" applyFill="1" applyBorder="1" applyAlignment="1" applyProtection="1">
      <alignment horizontal="center" vertical="center"/>
      <protection locked="0"/>
    </xf>
    <xf numFmtId="164" fontId="25" fillId="12" borderId="5" xfId="0" applyNumberFormat="1" applyFont="1" applyFill="1" applyBorder="1" applyAlignment="1" applyProtection="1">
      <alignment horizontal="center" vertical="center"/>
      <protection locked="0"/>
    </xf>
    <xf numFmtId="164" fontId="25" fillId="12" borderId="7" xfId="0" applyNumberFormat="1" applyFont="1" applyFill="1" applyBorder="1" applyAlignment="1" applyProtection="1">
      <alignment horizontal="center" vertical="center"/>
      <protection locked="0"/>
    </xf>
    <xf numFmtId="0" fontId="9" fillId="16" borderId="5" xfId="0" applyFont="1" applyFill="1" applyBorder="1" applyAlignment="1" applyProtection="1">
      <alignment horizontal="left" vertical="center"/>
      <protection locked="0"/>
    </xf>
    <xf numFmtId="0" fontId="6" fillId="16" borderId="6" xfId="0" applyFont="1" applyFill="1" applyBorder="1" applyAlignment="1" applyProtection="1">
      <alignment horizontal="center" vertical="center"/>
      <protection locked="0"/>
    </xf>
    <xf numFmtId="174" fontId="10" fillId="16" borderId="6" xfId="0" applyNumberFormat="1" applyFont="1" applyFill="1" applyBorder="1" applyAlignment="1" applyProtection="1">
      <alignment horizontal="center" vertical="center"/>
      <protection locked="0"/>
    </xf>
    <xf numFmtId="174" fontId="10" fillId="16" borderId="73" xfId="0" applyNumberFormat="1" applyFont="1" applyFill="1" applyBorder="1" applyAlignment="1" applyProtection="1">
      <alignment horizontal="center" vertical="center"/>
      <protection locked="0"/>
    </xf>
    <xf numFmtId="0" fontId="6" fillId="12" borderId="6" xfId="0" applyFont="1" applyFill="1" applyBorder="1" applyAlignment="1" applyProtection="1">
      <alignment horizontal="center" vertical="center"/>
      <protection locked="0"/>
    </xf>
    <xf numFmtId="174" fontId="10" fillId="12" borderId="6" xfId="0" applyNumberFormat="1" applyFont="1" applyFill="1" applyBorder="1" applyAlignment="1" applyProtection="1">
      <alignment horizontal="center" vertical="center"/>
      <protection locked="0"/>
    </xf>
    <xf numFmtId="174" fontId="10" fillId="12" borderId="73" xfId="0" applyNumberFormat="1" applyFont="1" applyFill="1" applyBorder="1" applyAlignment="1" applyProtection="1">
      <alignment horizontal="center" vertical="center"/>
      <protection locked="0"/>
    </xf>
    <xf numFmtId="174" fontId="6" fillId="12" borderId="5" xfId="0" applyNumberFormat="1" applyFont="1" applyFill="1" applyBorder="1" applyAlignment="1" applyProtection="1">
      <alignment horizontal="center" vertical="center"/>
      <protection locked="0"/>
    </xf>
    <xf numFmtId="174" fontId="6" fillId="12" borderId="6" xfId="0" applyNumberFormat="1" applyFont="1" applyFill="1" applyBorder="1" applyAlignment="1" applyProtection="1">
      <alignment horizontal="center" vertical="center"/>
      <protection locked="0"/>
    </xf>
    <xf numFmtId="174" fontId="6" fillId="12" borderId="7" xfId="0" applyNumberFormat="1" applyFont="1" applyFill="1" applyBorder="1" applyAlignment="1" applyProtection="1">
      <alignment horizontal="center" vertical="center"/>
      <protection locked="0"/>
    </xf>
    <xf numFmtId="164" fontId="25" fillId="16" borderId="6" xfId="0" applyNumberFormat="1" applyFont="1" applyFill="1" applyBorder="1" applyAlignment="1" applyProtection="1">
      <alignment horizontal="center" vertical="center"/>
      <protection locked="0"/>
    </xf>
    <xf numFmtId="164" fontId="24" fillId="16" borderId="6" xfId="0" applyNumberFormat="1" applyFont="1" applyFill="1" applyBorder="1" applyAlignment="1" applyProtection="1">
      <alignment horizontal="center" vertical="center"/>
      <protection locked="0"/>
    </xf>
    <xf numFmtId="164" fontId="25" fillId="16" borderId="5" xfId="0" applyNumberFormat="1" applyFont="1" applyFill="1" applyBorder="1" applyAlignment="1" applyProtection="1">
      <alignment horizontal="center" vertical="center"/>
      <protection locked="0"/>
    </xf>
    <xf numFmtId="164" fontId="25" fillId="16" borderId="7" xfId="0" applyNumberFormat="1" applyFont="1" applyFill="1" applyBorder="1" applyAlignment="1" applyProtection="1">
      <alignment horizontal="center" vertical="center"/>
      <protection locked="0"/>
    </xf>
    <xf numFmtId="164" fontId="7" fillId="15" borderId="6" xfId="0" applyNumberFormat="1" applyFont="1" applyFill="1" applyBorder="1" applyAlignment="1" applyProtection="1">
      <alignment horizontal="center" vertical="center"/>
      <protection locked="0"/>
    </xf>
    <xf numFmtId="164" fontId="58" fillId="15" borderId="6" xfId="0" applyNumberFormat="1" applyFont="1" applyFill="1" applyBorder="1" applyAlignment="1" applyProtection="1">
      <alignment horizontal="center" vertical="center"/>
      <protection locked="0"/>
    </xf>
    <xf numFmtId="164" fontId="58" fillId="15" borderId="73" xfId="0" applyNumberFormat="1" applyFont="1" applyFill="1" applyBorder="1" applyAlignment="1" applyProtection="1">
      <alignment horizontal="center" vertical="center"/>
      <protection locked="0"/>
    </xf>
    <xf numFmtId="164" fontId="58" fillId="15" borderId="5" xfId="0" applyNumberFormat="1" applyFont="1" applyFill="1" applyBorder="1" applyAlignment="1" applyProtection="1">
      <alignment horizontal="center" vertical="center"/>
      <protection locked="0"/>
    </xf>
    <xf numFmtId="164" fontId="58" fillId="15" borderId="7" xfId="0" applyNumberFormat="1" applyFont="1" applyFill="1" applyBorder="1" applyAlignment="1" applyProtection="1">
      <alignment horizontal="center" vertical="center"/>
      <protection locked="0"/>
    </xf>
    <xf numFmtId="0" fontId="17" fillId="0" borderId="0" xfId="0" applyFont="1" applyProtection="1">
      <protection locked="0"/>
    </xf>
    <xf numFmtId="0" fontId="9" fillId="10" borderId="5" xfId="0" applyFont="1" applyFill="1" applyBorder="1" applyAlignment="1" applyProtection="1">
      <alignment horizontal="left" vertical="center"/>
      <protection locked="0"/>
    </xf>
    <xf numFmtId="164" fontId="10" fillId="10" borderId="6" xfId="0" applyNumberFormat="1" applyFont="1" applyFill="1" applyBorder="1" applyAlignment="1" applyProtection="1">
      <alignment horizontal="center" vertical="center"/>
      <protection locked="0"/>
    </xf>
    <xf numFmtId="164" fontId="10" fillId="10" borderId="73" xfId="0" applyNumberFormat="1" applyFont="1" applyFill="1" applyBorder="1" applyAlignment="1" applyProtection="1">
      <alignment horizontal="center" vertical="center"/>
      <protection locked="0"/>
    </xf>
    <xf numFmtId="164" fontId="10" fillId="10" borderId="5" xfId="0" applyNumberFormat="1" applyFont="1" applyFill="1" applyBorder="1" applyAlignment="1" applyProtection="1">
      <alignment horizontal="center" vertical="center"/>
      <protection locked="0"/>
    </xf>
    <xf numFmtId="164" fontId="10" fillId="10" borderId="7" xfId="0" applyNumberFormat="1" applyFont="1" applyFill="1" applyBorder="1" applyAlignment="1" applyProtection="1">
      <alignment horizontal="center" vertical="center"/>
      <protection locked="0"/>
    </xf>
    <xf numFmtId="164" fontId="10" fillId="16" borderId="6" xfId="0" applyNumberFormat="1" applyFont="1" applyFill="1" applyBorder="1" applyAlignment="1" applyProtection="1">
      <alignment horizontal="center" vertical="center"/>
      <protection locked="0"/>
    </xf>
    <xf numFmtId="164" fontId="10" fillId="16" borderId="73" xfId="0" applyNumberFormat="1" applyFont="1" applyFill="1" applyBorder="1" applyAlignment="1" applyProtection="1">
      <alignment horizontal="center" vertical="center"/>
      <protection locked="0"/>
    </xf>
    <xf numFmtId="164" fontId="10" fillId="16" borderId="5" xfId="0" applyNumberFormat="1" applyFont="1" applyFill="1" applyBorder="1" applyAlignment="1" applyProtection="1">
      <alignment horizontal="center" vertical="center"/>
      <protection locked="0"/>
    </xf>
    <xf numFmtId="164" fontId="10" fillId="16" borderId="7" xfId="0" applyNumberFormat="1" applyFont="1" applyFill="1" applyBorder="1" applyAlignment="1" applyProtection="1">
      <alignment horizontal="center" vertical="center"/>
      <protection locked="0"/>
    </xf>
    <xf numFmtId="0" fontId="8" fillId="0" borderId="0" xfId="0" applyFont="1" applyAlignment="1" applyProtection="1">
      <alignment horizontal="left"/>
      <protection locked="0"/>
    </xf>
    <xf numFmtId="0" fontId="9" fillId="10" borderId="0" xfId="0" applyFont="1" applyFill="1" applyAlignment="1" applyProtection="1">
      <alignment horizontal="left" vertical="center"/>
      <protection locked="0"/>
    </xf>
    <xf numFmtId="164" fontId="9" fillId="10" borderId="0" xfId="0" applyNumberFormat="1" applyFont="1" applyFill="1" applyAlignment="1" applyProtection="1">
      <alignment horizontal="right" vertical="center"/>
      <protection locked="0"/>
    </xf>
    <xf numFmtId="164" fontId="10" fillId="10" borderId="0" xfId="0" applyNumberFormat="1" applyFont="1" applyFill="1" applyAlignment="1" applyProtection="1">
      <alignment horizontal="right" vertical="center"/>
      <protection locked="0"/>
    </xf>
    <xf numFmtId="0" fontId="0" fillId="11" borderId="0" xfId="0" applyFill="1" applyProtection="1">
      <protection locked="0"/>
    </xf>
    <xf numFmtId="0" fontId="3" fillId="14" borderId="0" xfId="0" applyFont="1" applyFill="1" applyAlignment="1" applyProtection="1">
      <alignment horizontal="center" vertical="center" wrapText="1"/>
      <protection locked="0"/>
    </xf>
    <xf numFmtId="0" fontId="3" fillId="17" borderId="0" xfId="0" applyFont="1" applyFill="1" applyAlignment="1" applyProtection="1">
      <alignment vertical="center" wrapText="1"/>
      <protection locked="0"/>
    </xf>
    <xf numFmtId="0" fontId="62" fillId="17" borderId="0" xfId="0" applyFont="1" applyFill="1" applyAlignment="1" applyProtection="1">
      <alignment vertical="center" wrapText="1"/>
      <protection locked="0"/>
    </xf>
    <xf numFmtId="0" fontId="8" fillId="11" borderId="0" xfId="0" applyFont="1" applyFill="1" applyProtection="1">
      <protection locked="0"/>
    </xf>
    <xf numFmtId="0" fontId="9" fillId="10" borderId="8" xfId="0" applyFont="1" applyFill="1" applyBorder="1" applyAlignment="1" applyProtection="1">
      <alignment horizontal="left" vertical="center"/>
      <protection locked="0"/>
    </xf>
    <xf numFmtId="164" fontId="10" fillId="18" borderId="8" xfId="0" applyNumberFormat="1" applyFont="1" applyFill="1" applyBorder="1" applyAlignment="1" applyProtection="1">
      <alignment horizontal="center" vertical="center"/>
      <protection locked="0"/>
    </xf>
    <xf numFmtId="0" fontId="63" fillId="0" borderId="0" xfId="0" applyFont="1" applyProtection="1">
      <protection locked="0"/>
    </xf>
    <xf numFmtId="0" fontId="9" fillId="12" borderId="4" xfId="0" applyFont="1" applyFill="1" applyBorder="1" applyAlignment="1" applyProtection="1">
      <alignment horizontal="left" vertical="center"/>
      <protection locked="0"/>
    </xf>
    <xf numFmtId="164" fontId="10" fillId="18" borderId="4" xfId="0" applyNumberFormat="1" applyFont="1" applyFill="1" applyBorder="1" applyAlignment="1" applyProtection="1">
      <alignment horizontal="center" vertical="center"/>
      <protection locked="0"/>
    </xf>
    <xf numFmtId="0" fontId="9" fillId="10" borderId="4" xfId="0" applyFont="1" applyFill="1" applyBorder="1" applyAlignment="1" applyProtection="1">
      <alignment horizontal="left" vertical="center"/>
      <protection locked="0"/>
    </xf>
    <xf numFmtId="165" fontId="10" fillId="18" borderId="4" xfId="0" applyNumberFormat="1" applyFont="1" applyFill="1" applyBorder="1" applyAlignment="1" applyProtection="1">
      <alignment horizontal="center" vertical="center"/>
      <protection locked="0"/>
    </xf>
    <xf numFmtId="170" fontId="0" fillId="0" borderId="0" xfId="0" applyNumberFormat="1" applyAlignment="1" applyProtection="1">
      <alignment horizontal="center"/>
      <protection locked="0"/>
    </xf>
    <xf numFmtId="170" fontId="0" fillId="0" borderId="0" xfId="0" applyNumberFormat="1" applyProtection="1">
      <protection locked="0"/>
    </xf>
    <xf numFmtId="3" fontId="0" fillId="0" borderId="0" xfId="0" applyNumberFormat="1" applyProtection="1">
      <protection locked="0"/>
    </xf>
    <xf numFmtId="9" fontId="0" fillId="0" borderId="0" xfId="0" applyNumberFormat="1" applyProtection="1">
      <protection locked="0"/>
    </xf>
    <xf numFmtId="172" fontId="3" fillId="13" borderId="1" xfId="0" applyNumberFormat="1" applyFont="1" applyFill="1" applyBorder="1" applyAlignment="1">
      <alignment horizontal="center" vertical="center" wrapText="1"/>
    </xf>
    <xf numFmtId="173" fontId="3" fillId="38" borderId="74" xfId="0" applyNumberFormat="1" applyFont="1" applyFill="1" applyBorder="1" applyAlignment="1">
      <alignment horizontal="center" vertical="center" wrapText="1"/>
    </xf>
    <xf numFmtId="173" fontId="3" fillId="38" borderId="1" xfId="0" applyNumberFormat="1" applyFont="1" applyFill="1" applyBorder="1" applyAlignment="1">
      <alignment horizontal="center" vertical="center" wrapText="1"/>
    </xf>
    <xf numFmtId="174" fontId="59" fillId="15" borderId="5" xfId="0" applyNumberFormat="1" applyFont="1" applyFill="1" applyBorder="1" applyAlignment="1">
      <alignment horizontal="center" vertical="center"/>
    </xf>
    <xf numFmtId="174" fontId="59" fillId="15" borderId="6" xfId="0" applyNumberFormat="1" applyFont="1" applyFill="1" applyBorder="1" applyAlignment="1">
      <alignment horizontal="center" vertical="center"/>
    </xf>
    <xf numFmtId="174" fontId="59" fillId="15" borderId="7" xfId="0" applyNumberFormat="1" applyFont="1" applyFill="1" applyBorder="1" applyAlignment="1">
      <alignment horizontal="center" vertical="center"/>
    </xf>
    <xf numFmtId="164" fontId="24" fillId="12" borderId="6" xfId="0" applyNumberFormat="1" applyFont="1" applyFill="1" applyBorder="1" applyAlignment="1">
      <alignment horizontal="center" vertical="center"/>
    </xf>
    <xf numFmtId="164" fontId="24" fillId="12" borderId="73" xfId="0" applyNumberFormat="1" applyFont="1" applyFill="1" applyBorder="1" applyAlignment="1">
      <alignment horizontal="center" vertical="center"/>
    </xf>
    <xf numFmtId="174" fontId="9" fillId="16" borderId="5" xfId="0" applyNumberFormat="1" applyFont="1" applyFill="1" applyBorder="1" applyAlignment="1">
      <alignment horizontal="center" vertical="center"/>
    </xf>
    <xf numFmtId="174" fontId="9" fillId="16" borderId="6" xfId="0" applyNumberFormat="1" applyFont="1" applyFill="1" applyBorder="1" applyAlignment="1">
      <alignment horizontal="center" vertical="center"/>
    </xf>
    <xf numFmtId="174" fontId="9" fillId="16" borderId="7" xfId="0" applyNumberFormat="1" applyFont="1" applyFill="1" applyBorder="1" applyAlignment="1">
      <alignment horizontal="center" vertical="center"/>
    </xf>
    <xf numFmtId="164" fontId="24" fillId="16" borderId="6" xfId="0" applyNumberFormat="1" applyFont="1" applyFill="1" applyBorder="1" applyAlignment="1">
      <alignment horizontal="center" vertical="center"/>
    </xf>
    <xf numFmtId="164" fontId="24" fillId="16" borderId="73" xfId="0" applyNumberFormat="1" applyFont="1" applyFill="1" applyBorder="1" applyAlignment="1">
      <alignment horizontal="center" vertical="center"/>
    </xf>
    <xf numFmtId="174" fontId="63" fillId="0" borderId="0" xfId="0" applyNumberFormat="1" applyFont="1"/>
    <xf numFmtId="0" fontId="1" fillId="0" borderId="0" xfId="0" applyFont="1" applyProtection="1">
      <protection locked="0"/>
    </xf>
    <xf numFmtId="0" fontId="29" fillId="20" borderId="13" xfId="0" applyFont="1" applyFill="1" applyBorder="1" applyAlignment="1" applyProtection="1">
      <alignment horizontal="center" vertical="center" wrapText="1"/>
      <protection locked="0"/>
    </xf>
    <xf numFmtId="0" fontId="29" fillId="20" borderId="14" xfId="0" applyFont="1" applyFill="1" applyBorder="1" applyAlignment="1" applyProtection="1">
      <alignment horizontal="center" vertical="center" wrapText="1"/>
      <protection locked="0"/>
    </xf>
    <xf numFmtId="0" fontId="29" fillId="20" borderId="15" xfId="0" applyFont="1" applyFill="1" applyBorder="1" applyAlignment="1" applyProtection="1">
      <alignment horizontal="center" vertical="center" wrapText="1"/>
      <protection locked="0"/>
    </xf>
    <xf numFmtId="0" fontId="20" fillId="5" borderId="8" xfId="0" applyFont="1" applyFill="1" applyBorder="1" applyAlignment="1" applyProtection="1">
      <alignment horizontal="left" vertical="center"/>
      <protection locked="0"/>
    </xf>
    <xf numFmtId="0" fontId="20" fillId="5" borderId="8" xfId="0" applyFont="1" applyFill="1" applyBorder="1" applyAlignment="1" applyProtection="1">
      <alignment horizontal="center" vertical="center" wrapText="1"/>
      <protection locked="0"/>
    </xf>
    <xf numFmtId="9" fontId="60" fillId="5" borderId="8" xfId="0" applyNumberFormat="1" applyFont="1" applyFill="1" applyBorder="1" applyAlignment="1" applyProtection="1">
      <alignment horizontal="center" vertical="center" wrapText="1"/>
      <protection locked="0"/>
    </xf>
    <xf numFmtId="0" fontId="18" fillId="6" borderId="8" xfId="0" applyFont="1" applyFill="1" applyBorder="1" applyAlignment="1" applyProtection="1">
      <alignment horizontal="center" vertical="center" wrapText="1"/>
      <protection locked="0"/>
    </xf>
    <xf numFmtId="0" fontId="20" fillId="19" borderId="4" xfId="0" applyFont="1" applyFill="1" applyBorder="1" applyAlignment="1" applyProtection="1">
      <alignment horizontal="left" vertical="center"/>
      <protection locked="0"/>
    </xf>
    <xf numFmtId="0" fontId="20" fillId="19" borderId="4" xfId="0" applyFont="1" applyFill="1" applyBorder="1" applyAlignment="1" applyProtection="1">
      <alignment horizontal="center" vertical="center" wrapText="1"/>
      <protection locked="0"/>
    </xf>
    <xf numFmtId="9" fontId="60" fillId="19" borderId="4" xfId="0" applyNumberFormat="1" applyFont="1" applyFill="1" applyBorder="1" applyAlignment="1" applyProtection="1">
      <alignment horizontal="center" vertical="center" wrapText="1"/>
      <protection locked="0"/>
    </xf>
    <xf numFmtId="0" fontId="18" fillId="7" borderId="4" xfId="0" applyFont="1" applyFill="1" applyBorder="1" applyAlignment="1" applyProtection="1">
      <alignment horizontal="center" vertical="center" wrapText="1"/>
      <protection locked="0"/>
    </xf>
    <xf numFmtId="0" fontId="20" fillId="5" borderId="4" xfId="0" applyFont="1" applyFill="1" applyBorder="1" applyAlignment="1" applyProtection="1">
      <alignment horizontal="left" vertical="center"/>
      <protection locked="0"/>
    </xf>
    <xf numFmtId="0" fontId="20" fillId="5" borderId="4" xfId="0" applyFont="1" applyFill="1" applyBorder="1" applyAlignment="1" applyProtection="1">
      <alignment horizontal="center" vertical="center" wrapText="1"/>
      <protection locked="0"/>
    </xf>
    <xf numFmtId="9" fontId="60" fillId="5" borderId="4" xfId="0" applyNumberFormat="1" applyFont="1" applyFill="1" applyBorder="1" applyAlignment="1" applyProtection="1">
      <alignment horizontal="center" vertical="center" wrapText="1"/>
      <protection locked="0"/>
    </xf>
    <xf numFmtId="0" fontId="18" fillId="8" borderId="4" xfId="0" applyFont="1" applyFill="1" applyBorder="1" applyAlignment="1" applyProtection="1">
      <alignment horizontal="center" vertical="center" wrapText="1"/>
      <protection locked="0"/>
    </xf>
    <xf numFmtId="0" fontId="60" fillId="19" borderId="4" xfId="0" applyFont="1" applyFill="1" applyBorder="1" applyAlignment="1" applyProtection="1">
      <alignment horizontal="center" vertical="center" wrapText="1"/>
      <protection locked="0"/>
    </xf>
    <xf numFmtId="0" fontId="60" fillId="5" borderId="4" xfId="0" applyFont="1" applyFill="1" applyBorder="1" applyAlignment="1" applyProtection="1">
      <alignment horizontal="center" vertical="center" wrapText="1"/>
      <protection locked="0"/>
    </xf>
    <xf numFmtId="0" fontId="18" fillId="6" borderId="4" xfId="0" applyFont="1" applyFill="1" applyBorder="1" applyAlignment="1" applyProtection="1">
      <alignment horizontal="center" vertical="center" wrapText="1"/>
      <protection locked="0"/>
    </xf>
    <xf numFmtId="10" fontId="60" fillId="5" borderId="4" xfId="0" applyNumberFormat="1" applyFont="1" applyFill="1" applyBorder="1" applyAlignment="1" applyProtection="1">
      <alignment horizontal="center" vertical="center" wrapText="1"/>
      <protection locked="0"/>
    </xf>
    <xf numFmtId="0" fontId="18" fillId="4" borderId="4" xfId="0" applyFont="1" applyFill="1" applyBorder="1" applyAlignment="1" applyProtection="1">
      <alignment horizontal="center" vertical="center" wrapText="1"/>
      <protection locked="0"/>
    </xf>
    <xf numFmtId="0" fontId="19" fillId="2" borderId="12" xfId="0" applyFont="1" applyFill="1" applyBorder="1" applyProtection="1">
      <protection locked="0"/>
    </xf>
    <xf numFmtId="0" fontId="1" fillId="0" borderId="12" xfId="0" applyFont="1" applyBorder="1" applyProtection="1">
      <protection locked="0"/>
    </xf>
    <xf numFmtId="0" fontId="30" fillId="0" borderId="0" xfId="0" applyFont="1" applyAlignment="1" applyProtection="1">
      <alignment vertical="top" wrapText="1"/>
      <protection locked="0"/>
    </xf>
    <xf numFmtId="164" fontId="60" fillId="5" borderId="8" xfId="0" applyNumberFormat="1" applyFont="1" applyFill="1" applyBorder="1" applyAlignment="1">
      <alignment horizontal="center" vertical="center" wrapText="1"/>
    </xf>
    <xf numFmtId="164" fontId="60" fillId="19" borderId="4" xfId="0" applyNumberFormat="1" applyFont="1" applyFill="1" applyBorder="1" applyAlignment="1">
      <alignment horizontal="center" vertical="center" wrapText="1"/>
    </xf>
    <xf numFmtId="164" fontId="60" fillId="5" borderId="4" xfId="0" applyNumberFormat="1" applyFont="1" applyFill="1" applyBorder="1" applyAlignment="1">
      <alignment horizontal="center" vertical="center" wrapText="1"/>
    </xf>
    <xf numFmtId="0" fontId="29" fillId="21" borderId="24" xfId="0" applyFont="1" applyFill="1" applyBorder="1" applyProtection="1">
      <protection locked="0"/>
    </xf>
    <xf numFmtId="0" fontId="34" fillId="5" borderId="22" xfId="0" applyFont="1" applyFill="1" applyBorder="1" applyAlignment="1" applyProtection="1">
      <alignment horizontal="left" vertical="center"/>
      <protection locked="0"/>
    </xf>
    <xf numFmtId="174" fontId="61" fillId="5" borderId="22" xfId="0" applyNumberFormat="1" applyFont="1" applyFill="1" applyBorder="1" applyAlignment="1" applyProtection="1">
      <alignment horizontal="right" vertical="center"/>
      <protection locked="0"/>
    </xf>
    <xf numFmtId="174" fontId="61" fillId="5" borderId="53" xfId="0" applyNumberFormat="1" applyFont="1" applyFill="1" applyBorder="1" applyAlignment="1" applyProtection="1">
      <alignment horizontal="right" vertical="center"/>
      <protection locked="0"/>
    </xf>
    <xf numFmtId="0" fontId="20" fillId="10" borderId="23" xfId="0" applyFont="1" applyFill="1" applyBorder="1" applyAlignment="1" applyProtection="1">
      <alignment horizontal="left" vertical="center"/>
      <protection locked="0"/>
    </xf>
    <xf numFmtId="0" fontId="8" fillId="11" borderId="23" xfId="0" applyFont="1" applyFill="1" applyBorder="1" applyProtection="1">
      <protection locked="0"/>
    </xf>
    <xf numFmtId="0" fontId="20" fillId="15" borderId="22" xfId="0" applyFont="1" applyFill="1" applyBorder="1" applyAlignment="1" applyProtection="1">
      <alignment horizontal="left" vertical="center"/>
      <protection locked="0"/>
    </xf>
    <xf numFmtId="174" fontId="60" fillId="15" borderId="22" xfId="0" applyNumberFormat="1" applyFont="1" applyFill="1" applyBorder="1" applyAlignment="1" applyProtection="1">
      <alignment horizontal="right" vertical="center"/>
      <protection locked="0"/>
    </xf>
    <xf numFmtId="174" fontId="60" fillId="15" borderId="53" xfId="0" applyNumberFormat="1" applyFont="1" applyFill="1" applyBorder="1" applyAlignment="1" applyProtection="1">
      <alignment horizontal="right" vertical="center"/>
      <protection locked="0"/>
    </xf>
    <xf numFmtId="0" fontId="20" fillId="22" borderId="23" xfId="0" applyFont="1" applyFill="1" applyBorder="1" applyAlignment="1" applyProtection="1">
      <alignment horizontal="left" vertical="center"/>
      <protection locked="0"/>
    </xf>
    <xf numFmtId="0" fontId="20" fillId="10" borderId="22" xfId="0" applyFont="1" applyFill="1" applyBorder="1" applyAlignment="1" applyProtection="1">
      <alignment horizontal="left" vertical="center"/>
      <protection locked="0"/>
    </xf>
    <xf numFmtId="174" fontId="60" fillId="10" borderId="22" xfId="0" applyNumberFormat="1" applyFont="1" applyFill="1" applyBorder="1" applyAlignment="1" applyProtection="1">
      <alignment horizontal="right" vertical="center"/>
      <protection locked="0"/>
    </xf>
    <xf numFmtId="174" fontId="60" fillId="10" borderId="53" xfId="0" applyNumberFormat="1" applyFont="1" applyFill="1" applyBorder="1" applyAlignment="1" applyProtection="1">
      <alignment horizontal="right" vertical="center"/>
      <protection locked="0"/>
    </xf>
    <xf numFmtId="0" fontId="20" fillId="12" borderId="23" xfId="0" applyFont="1" applyFill="1" applyBorder="1" applyAlignment="1" applyProtection="1">
      <alignment horizontal="left" vertical="center"/>
      <protection locked="0"/>
    </xf>
    <xf numFmtId="0" fontId="20" fillId="15" borderId="23" xfId="0" applyFont="1" applyFill="1" applyBorder="1" applyAlignment="1" applyProtection="1">
      <alignment horizontal="left" vertical="center"/>
      <protection locked="0"/>
    </xf>
    <xf numFmtId="0" fontId="20" fillId="12" borderId="20" xfId="0" applyFont="1" applyFill="1" applyBorder="1" applyAlignment="1" applyProtection="1">
      <alignment horizontal="left" vertical="center"/>
      <protection locked="0"/>
    </xf>
    <xf numFmtId="0" fontId="34" fillId="15" borderId="27" xfId="0" applyFont="1" applyFill="1" applyBorder="1" applyAlignment="1" applyProtection="1">
      <alignment horizontal="left" vertical="center"/>
      <protection locked="0"/>
    </xf>
    <xf numFmtId="174" fontId="61" fillId="15" borderId="27" xfId="0" applyNumberFormat="1" applyFont="1" applyFill="1" applyBorder="1" applyAlignment="1" applyProtection="1">
      <alignment horizontal="right" vertical="center"/>
      <protection locked="0"/>
    </xf>
    <xf numFmtId="174" fontId="61" fillId="15" borderId="56" xfId="0" applyNumberFormat="1" applyFont="1" applyFill="1" applyBorder="1" applyAlignment="1" applyProtection="1">
      <alignment horizontal="right" vertical="center"/>
      <protection locked="0"/>
    </xf>
    <xf numFmtId="0" fontId="20" fillId="12" borderId="21" xfId="0" applyFont="1" applyFill="1" applyBorder="1" applyAlignment="1" applyProtection="1">
      <alignment horizontal="left" vertical="center"/>
      <protection locked="0"/>
    </xf>
    <xf numFmtId="174" fontId="60" fillId="12" borderId="21" xfId="0" applyNumberFormat="1" applyFont="1" applyFill="1" applyBorder="1" applyAlignment="1" applyProtection="1">
      <alignment horizontal="right" vertical="center"/>
      <protection locked="0"/>
    </xf>
    <xf numFmtId="174" fontId="60" fillId="12" borderId="57" xfId="0" applyNumberFormat="1" applyFont="1" applyFill="1" applyBorder="1" applyAlignment="1" applyProtection="1">
      <alignment horizontal="right" vertical="center"/>
      <protection locked="0"/>
    </xf>
    <xf numFmtId="3" fontId="8" fillId="0" borderId="0" xfId="0" applyNumberFormat="1" applyFont="1" applyProtection="1">
      <protection locked="0"/>
    </xf>
    <xf numFmtId="0" fontId="32" fillId="12" borderId="21" xfId="0" applyFont="1" applyFill="1" applyBorder="1" applyAlignment="1" applyProtection="1">
      <alignment horizontal="left" vertical="center"/>
      <protection locked="0"/>
    </xf>
    <xf numFmtId="174" fontId="33" fillId="12" borderId="21" xfId="0" applyNumberFormat="1" applyFont="1" applyFill="1" applyBorder="1" applyAlignment="1" applyProtection="1">
      <alignment horizontal="right" vertical="center"/>
      <protection locked="0"/>
    </xf>
    <xf numFmtId="174" fontId="33" fillId="12" borderId="57" xfId="0" applyNumberFormat="1" applyFont="1" applyFill="1" applyBorder="1" applyAlignment="1" applyProtection="1">
      <alignment horizontal="right" vertical="center"/>
      <protection locked="0"/>
    </xf>
    <xf numFmtId="174" fontId="33" fillId="12" borderId="50" xfId="0" applyNumberFormat="1" applyFont="1" applyFill="1" applyBorder="1" applyAlignment="1" applyProtection="1">
      <alignment horizontal="right" vertical="center"/>
      <protection locked="0"/>
    </xf>
    <xf numFmtId="174" fontId="60" fillId="15" borderId="46" xfId="0" applyNumberFormat="1" applyFont="1" applyFill="1" applyBorder="1" applyAlignment="1" applyProtection="1">
      <alignment horizontal="right" vertical="center"/>
      <protection locked="0"/>
    </xf>
    <xf numFmtId="0" fontId="34" fillId="22" borderId="27" xfId="0" applyFont="1" applyFill="1" applyBorder="1" applyAlignment="1" applyProtection="1">
      <alignment horizontal="left" vertical="center"/>
      <protection locked="0"/>
    </xf>
    <xf numFmtId="0" fontId="20" fillId="10" borderId="28" xfId="0" applyFont="1" applyFill="1" applyBorder="1" applyAlignment="1" applyProtection="1">
      <alignment horizontal="left" vertical="center"/>
      <protection locked="0"/>
    </xf>
    <xf numFmtId="174" fontId="60" fillId="10" borderId="28" xfId="0" applyNumberFormat="1" applyFont="1" applyFill="1" applyBorder="1" applyAlignment="1" applyProtection="1">
      <alignment horizontal="right" vertical="center"/>
      <protection locked="0"/>
    </xf>
    <xf numFmtId="174" fontId="60" fillId="10" borderId="58" xfId="0" applyNumberFormat="1" applyFont="1" applyFill="1" applyBorder="1" applyAlignment="1" applyProtection="1">
      <alignment horizontal="right" vertical="center"/>
      <protection locked="0"/>
    </xf>
    <xf numFmtId="174" fontId="60" fillId="10" borderId="51" xfId="0" applyNumberFormat="1" applyFont="1" applyFill="1" applyBorder="1" applyAlignment="1" applyProtection="1">
      <alignment horizontal="right" vertical="center"/>
      <protection locked="0"/>
    </xf>
    <xf numFmtId="0" fontId="34" fillId="22" borderId="22" xfId="0" applyFont="1" applyFill="1" applyBorder="1" applyAlignment="1" applyProtection="1">
      <alignment horizontal="left" vertical="center"/>
      <protection locked="0"/>
    </xf>
    <xf numFmtId="0" fontId="20" fillId="15" borderId="29" xfId="0" applyFont="1" applyFill="1" applyBorder="1" applyAlignment="1" applyProtection="1">
      <alignment horizontal="left" vertical="center"/>
      <protection locked="0"/>
    </xf>
    <xf numFmtId="0" fontId="20" fillId="12" borderId="0" xfId="0" applyFont="1" applyFill="1" applyAlignment="1" applyProtection="1">
      <alignment horizontal="left" vertical="center"/>
      <protection locked="0"/>
    </xf>
    <xf numFmtId="0" fontId="34" fillId="15" borderId="26" xfId="0" applyFont="1" applyFill="1" applyBorder="1" applyAlignment="1" applyProtection="1">
      <alignment horizontal="left" vertical="center"/>
      <protection locked="0"/>
    </xf>
    <xf numFmtId="0" fontId="34" fillId="12" borderId="25" xfId="0" applyFont="1" applyFill="1" applyBorder="1" applyAlignment="1" applyProtection="1">
      <alignment horizontal="left" vertical="center"/>
      <protection locked="0"/>
    </xf>
    <xf numFmtId="166" fontId="60" fillId="12" borderId="25" xfId="0" applyNumberFormat="1" applyFont="1" applyFill="1" applyBorder="1" applyAlignment="1" applyProtection="1">
      <alignment horizontal="right" vertical="center"/>
      <protection locked="0"/>
    </xf>
    <xf numFmtId="166" fontId="60" fillId="12" borderId="63" xfId="0" applyNumberFormat="1" applyFont="1" applyFill="1" applyBorder="1" applyAlignment="1" applyProtection="1">
      <alignment horizontal="right" vertical="center"/>
      <protection locked="0"/>
    </xf>
    <xf numFmtId="166" fontId="60" fillId="12" borderId="61" xfId="0" applyNumberFormat="1" applyFont="1" applyFill="1" applyBorder="1" applyAlignment="1" applyProtection="1">
      <alignment horizontal="right" vertical="center"/>
      <protection locked="0"/>
    </xf>
    <xf numFmtId="172" fontId="19" fillId="20" borderId="19" xfId="0" applyNumberFormat="1" applyFont="1" applyFill="1" applyBorder="1" applyAlignment="1">
      <alignment horizontal="center" vertical="center" wrapText="1"/>
    </xf>
    <xf numFmtId="174" fontId="34" fillId="5" borderId="46" xfId="0" applyNumberFormat="1" applyFont="1" applyFill="1" applyBorder="1" applyAlignment="1">
      <alignment horizontal="right" vertical="center"/>
    </xf>
    <xf numFmtId="174" fontId="34" fillId="5" borderId="22" xfId="0" applyNumberFormat="1" applyFont="1" applyFill="1" applyBorder="1" applyAlignment="1">
      <alignment horizontal="right" vertical="center"/>
    </xf>
    <xf numFmtId="164" fontId="8" fillId="10" borderId="47" xfId="0" applyNumberFormat="1" applyFont="1" applyFill="1" applyBorder="1" applyAlignment="1">
      <alignment horizontal="right" vertical="center"/>
    </xf>
    <xf numFmtId="164" fontId="8" fillId="10" borderId="23" xfId="0" applyNumberFormat="1" applyFont="1" applyFill="1" applyBorder="1" applyAlignment="1">
      <alignment horizontal="right" vertical="center"/>
    </xf>
    <xf numFmtId="174" fontId="8" fillId="15" borderId="46" xfId="0" applyNumberFormat="1" applyFont="1" applyFill="1" applyBorder="1" applyAlignment="1">
      <alignment horizontal="right" vertical="center"/>
    </xf>
    <xf numFmtId="174" fontId="8" fillId="15" borderId="22" xfId="0" applyNumberFormat="1" applyFont="1" applyFill="1" applyBorder="1" applyAlignment="1">
      <alignment horizontal="right" vertical="center"/>
    </xf>
    <xf numFmtId="164" fontId="8" fillId="22" borderId="47" xfId="0" applyNumberFormat="1" applyFont="1" applyFill="1" applyBorder="1" applyAlignment="1">
      <alignment horizontal="right" vertical="center"/>
    </xf>
    <xf numFmtId="164" fontId="8" fillId="22" borderId="23" xfId="0" applyNumberFormat="1" applyFont="1" applyFill="1" applyBorder="1" applyAlignment="1">
      <alignment horizontal="right" vertical="center"/>
    </xf>
    <xf numFmtId="174" fontId="8" fillId="10" borderId="46" xfId="0" applyNumberFormat="1" applyFont="1" applyFill="1" applyBorder="1" applyAlignment="1">
      <alignment horizontal="right" vertical="center"/>
    </xf>
    <xf numFmtId="174" fontId="8" fillId="10" borderId="22" xfId="0" applyNumberFormat="1" applyFont="1" applyFill="1" applyBorder="1" applyAlignment="1">
      <alignment horizontal="right" vertical="center"/>
    </xf>
    <xf numFmtId="164" fontId="8" fillId="12" borderId="47" xfId="0" applyNumberFormat="1" applyFont="1" applyFill="1" applyBorder="1" applyAlignment="1">
      <alignment horizontal="right" vertical="center"/>
    </xf>
    <xf numFmtId="164" fontId="8" fillId="12" borderId="23" xfId="0" applyNumberFormat="1" applyFont="1" applyFill="1" applyBorder="1" applyAlignment="1">
      <alignment horizontal="right" vertical="center"/>
    </xf>
    <xf numFmtId="164" fontId="8" fillId="15" borderId="47" xfId="0" applyNumberFormat="1" applyFont="1" applyFill="1" applyBorder="1" applyAlignment="1">
      <alignment horizontal="right" vertical="center"/>
    </xf>
    <xf numFmtId="164" fontId="8" fillId="15" borderId="23" xfId="0" applyNumberFormat="1" applyFont="1" applyFill="1" applyBorder="1" applyAlignment="1">
      <alignment horizontal="right" vertical="center"/>
    </xf>
    <xf numFmtId="164" fontId="8" fillId="12" borderId="48" xfId="0" applyNumberFormat="1" applyFont="1" applyFill="1" applyBorder="1" applyAlignment="1">
      <alignment horizontal="right" vertical="center"/>
    </xf>
    <xf numFmtId="164" fontId="8" fillId="12" borderId="20" xfId="0" applyNumberFormat="1" applyFont="1" applyFill="1" applyBorder="1" applyAlignment="1">
      <alignment horizontal="right" vertical="center"/>
    </xf>
    <xf numFmtId="174" fontId="8" fillId="15" borderId="49" xfId="0" applyNumberFormat="1" applyFont="1" applyFill="1" applyBorder="1" applyAlignment="1">
      <alignment horizontal="right" vertical="center"/>
    </xf>
    <xf numFmtId="174" fontId="8" fillId="15" borderId="27" xfId="0" applyNumberFormat="1" applyFont="1" applyFill="1" applyBorder="1" applyAlignment="1">
      <alignment horizontal="right" vertical="center"/>
    </xf>
    <xf numFmtId="174" fontId="8" fillId="12" borderId="50" xfId="0" applyNumberFormat="1" applyFont="1" applyFill="1" applyBorder="1" applyAlignment="1">
      <alignment horizontal="right" vertical="center"/>
    </xf>
    <xf numFmtId="174" fontId="8" fillId="12" borderId="21" xfId="0" applyNumberFormat="1" applyFont="1" applyFill="1" applyBorder="1" applyAlignment="1">
      <alignment horizontal="right" vertical="center"/>
    </xf>
    <xf numFmtId="164" fontId="20" fillId="10" borderId="23" xfId="0" applyNumberFormat="1" applyFont="1" applyFill="1" applyBorder="1" applyAlignment="1">
      <alignment horizontal="right" vertical="center"/>
    </xf>
    <xf numFmtId="164" fontId="20" fillId="10" borderId="54" xfId="0" applyNumberFormat="1" applyFont="1" applyFill="1" applyBorder="1" applyAlignment="1">
      <alignment horizontal="right" vertical="center"/>
    </xf>
    <xf numFmtId="164" fontId="20" fillId="22" borderId="23" xfId="0" applyNumberFormat="1" applyFont="1" applyFill="1" applyBorder="1" applyAlignment="1">
      <alignment horizontal="right" vertical="center"/>
    </xf>
    <xf numFmtId="164" fontId="20" fillId="22" borderId="54" xfId="0" applyNumberFormat="1" applyFont="1" applyFill="1" applyBorder="1" applyAlignment="1">
      <alignment horizontal="right" vertical="center"/>
    </xf>
    <xf numFmtId="164" fontId="20" fillId="12" borderId="23" xfId="0" applyNumberFormat="1" applyFont="1" applyFill="1" applyBorder="1" applyAlignment="1">
      <alignment horizontal="right" vertical="center"/>
    </xf>
    <xf numFmtId="164" fontId="20" fillId="12" borderId="54" xfId="0" applyNumberFormat="1" applyFont="1" applyFill="1" applyBorder="1" applyAlignment="1">
      <alignment horizontal="right" vertical="center"/>
    </xf>
    <xf numFmtId="164" fontId="20" fillId="15" borderId="23" xfId="0" applyNumberFormat="1" applyFont="1" applyFill="1" applyBorder="1" applyAlignment="1">
      <alignment horizontal="right" vertical="center"/>
    </xf>
    <xf numFmtId="164" fontId="20" fillId="15" borderId="54" xfId="0" applyNumberFormat="1" applyFont="1" applyFill="1" applyBorder="1" applyAlignment="1">
      <alignment horizontal="right" vertical="center"/>
    </xf>
    <xf numFmtId="164" fontId="20" fillId="12" borderId="20" xfId="0" applyNumberFormat="1" applyFont="1" applyFill="1" applyBorder="1" applyAlignment="1">
      <alignment horizontal="right" vertical="center"/>
    </xf>
    <xf numFmtId="164" fontId="20" fillId="12" borderId="55" xfId="0" applyNumberFormat="1" applyFont="1" applyFill="1" applyBorder="1" applyAlignment="1">
      <alignment horizontal="right" vertical="center"/>
    </xf>
    <xf numFmtId="174" fontId="8" fillId="15" borderId="56" xfId="0" applyNumberFormat="1" applyFont="1" applyFill="1" applyBorder="1" applyAlignment="1">
      <alignment horizontal="right" vertical="center"/>
    </xf>
    <xf numFmtId="174" fontId="8" fillId="22" borderId="27" xfId="0" applyNumberFormat="1" applyFont="1" applyFill="1" applyBorder="1" applyAlignment="1">
      <alignment horizontal="right" vertical="center"/>
    </xf>
    <xf numFmtId="174" fontId="8" fillId="22" borderId="56" xfId="0" applyNumberFormat="1" applyFont="1" applyFill="1" applyBorder="1" applyAlignment="1">
      <alignment horizontal="right" vertical="center"/>
    </xf>
    <xf numFmtId="174" fontId="8" fillId="22" borderId="49" xfId="0" applyNumberFormat="1" applyFont="1" applyFill="1" applyBorder="1" applyAlignment="1">
      <alignment horizontal="right" vertical="center"/>
    </xf>
    <xf numFmtId="174" fontId="18" fillId="22" borderId="22" xfId="0" applyNumberFormat="1" applyFont="1" applyFill="1" applyBorder="1" applyAlignment="1">
      <alignment horizontal="right" vertical="center"/>
    </xf>
    <xf numFmtId="174" fontId="18" fillId="22" borderId="53" xfId="0" applyNumberFormat="1" applyFont="1" applyFill="1" applyBorder="1" applyAlignment="1">
      <alignment horizontal="right" vertical="center"/>
    </xf>
    <xf numFmtId="174" fontId="18" fillId="22" borderId="46" xfId="0" applyNumberFormat="1" applyFont="1" applyFill="1" applyBorder="1" applyAlignment="1">
      <alignment horizontal="right" vertical="center"/>
    </xf>
    <xf numFmtId="164" fontId="20" fillId="15" borderId="29" xfId="0" applyNumberFormat="1" applyFont="1" applyFill="1" applyBorder="1" applyAlignment="1">
      <alignment horizontal="right" vertical="center"/>
    </xf>
    <xf numFmtId="164" fontId="20" fillId="15" borderId="59" xfId="0" applyNumberFormat="1" applyFont="1" applyFill="1" applyBorder="1" applyAlignment="1">
      <alignment horizontal="right" vertical="center"/>
    </xf>
    <xf numFmtId="164" fontId="8" fillId="15" borderId="52" xfId="0" applyNumberFormat="1" applyFont="1" applyFill="1" applyBorder="1" applyAlignment="1">
      <alignment horizontal="right" vertical="center"/>
    </xf>
    <xf numFmtId="164" fontId="8" fillId="15" borderId="29" xfId="0" applyNumberFormat="1" applyFont="1" applyFill="1" applyBorder="1" applyAlignment="1">
      <alignment horizontal="right" vertical="center"/>
    </xf>
    <xf numFmtId="174" fontId="8" fillId="15" borderId="26" xfId="0" applyNumberFormat="1" applyFont="1" applyFill="1" applyBorder="1" applyAlignment="1">
      <alignment horizontal="right" vertical="center"/>
    </xf>
    <xf numFmtId="174" fontId="8" fillId="15" borderId="62" xfId="0" applyNumberFormat="1" applyFont="1" applyFill="1" applyBorder="1" applyAlignment="1">
      <alignment horizontal="right" vertical="center"/>
    </xf>
    <xf numFmtId="174" fontId="8" fillId="15" borderId="60" xfId="0" applyNumberFormat="1" applyFont="1" applyFill="1" applyBorder="1" applyAlignment="1">
      <alignment horizontal="right" vertical="center"/>
    </xf>
    <xf numFmtId="0" fontId="4" fillId="0" borderId="0" xfId="0" applyFont="1" applyProtection="1">
      <protection locked="0"/>
    </xf>
    <xf numFmtId="0" fontId="27" fillId="23" borderId="16" xfId="0" applyFont="1" applyFill="1" applyBorder="1" applyProtection="1">
      <protection locked="0"/>
    </xf>
    <xf numFmtId="0" fontId="27" fillId="23" borderId="31" xfId="0" applyFont="1" applyFill="1" applyBorder="1" applyAlignment="1" applyProtection="1">
      <alignment horizontal="center"/>
      <protection locked="0"/>
    </xf>
    <xf numFmtId="0" fontId="9" fillId="5" borderId="32" xfId="0" applyFont="1" applyFill="1" applyBorder="1" applyAlignment="1" applyProtection="1">
      <alignment horizontal="left" vertical="center"/>
      <protection locked="0"/>
    </xf>
    <xf numFmtId="10" fontId="10" fillId="5" borderId="32" xfId="0" applyNumberFormat="1" applyFont="1" applyFill="1" applyBorder="1" applyAlignment="1" applyProtection="1">
      <alignment horizontal="right" vertical="center"/>
      <protection locked="0"/>
    </xf>
    <xf numFmtId="0" fontId="9" fillId="15" borderId="21" xfId="0" applyFont="1" applyFill="1" applyBorder="1" applyAlignment="1" applyProtection="1">
      <alignment horizontal="left" vertical="center"/>
      <protection locked="0"/>
    </xf>
    <xf numFmtId="167" fontId="10" fillId="15" borderId="21" xfId="0" applyNumberFormat="1" applyFont="1" applyFill="1" applyBorder="1" applyAlignment="1" applyProtection="1">
      <alignment horizontal="right" vertical="center"/>
      <protection locked="0"/>
    </xf>
    <xf numFmtId="0" fontId="9" fillId="5" borderId="21" xfId="0" applyFont="1" applyFill="1" applyBorder="1" applyAlignment="1" applyProtection="1">
      <alignment horizontal="left" vertical="center"/>
      <protection locked="0"/>
    </xf>
    <xf numFmtId="10" fontId="10" fillId="5" borderId="21" xfId="0" applyNumberFormat="1" applyFont="1" applyFill="1" applyBorder="1" applyAlignment="1" applyProtection="1">
      <alignment horizontal="right" vertical="center"/>
      <protection locked="0"/>
    </xf>
    <xf numFmtId="10" fontId="10" fillId="15" borderId="21" xfId="0" applyNumberFormat="1" applyFont="1" applyFill="1" applyBorder="1" applyAlignment="1" applyProtection="1">
      <alignment horizontal="right" vertical="center"/>
      <protection locked="0"/>
    </xf>
    <xf numFmtId="0" fontId="38" fillId="24" borderId="33" xfId="0" applyFont="1" applyFill="1" applyBorder="1" applyAlignment="1" applyProtection="1">
      <alignment horizontal="left" vertical="center"/>
      <protection locked="0"/>
    </xf>
    <xf numFmtId="0" fontId="9" fillId="10" borderId="32" xfId="0" applyFont="1" applyFill="1" applyBorder="1" applyAlignment="1" applyProtection="1">
      <alignment horizontal="left" vertical="center"/>
      <protection locked="0"/>
    </xf>
    <xf numFmtId="174" fontId="10" fillId="10" borderId="32" xfId="0" applyNumberFormat="1" applyFont="1" applyFill="1" applyBorder="1" applyAlignment="1" applyProtection="1">
      <alignment horizontal="center" vertical="center"/>
      <protection locked="0"/>
    </xf>
    <xf numFmtId="174" fontId="10" fillId="15" borderId="21" xfId="0" applyNumberFormat="1" applyFont="1" applyFill="1" applyBorder="1" applyAlignment="1" applyProtection="1">
      <alignment horizontal="center" vertical="center"/>
      <protection locked="0"/>
    </xf>
    <xf numFmtId="0" fontId="9" fillId="10" borderId="21" xfId="0" applyFont="1" applyFill="1" applyBorder="1" applyAlignment="1" applyProtection="1">
      <alignment horizontal="left" vertical="center"/>
      <protection locked="0"/>
    </xf>
    <xf numFmtId="0" fontId="9" fillId="15" borderId="33" xfId="0" applyFont="1" applyFill="1" applyBorder="1" applyAlignment="1" applyProtection="1">
      <alignment horizontal="left" vertical="center"/>
      <protection locked="0"/>
    </xf>
    <xf numFmtId="0" fontId="38" fillId="24" borderId="0" xfId="0" applyFont="1" applyFill="1" applyAlignment="1" applyProtection="1">
      <alignment horizontal="left" vertical="center"/>
      <protection locked="0"/>
    </xf>
    <xf numFmtId="0" fontId="11" fillId="0" borderId="0" xfId="0" applyFont="1" applyProtection="1">
      <protection locked="0"/>
    </xf>
    <xf numFmtId="10" fontId="38" fillId="24" borderId="33" xfId="0" applyNumberFormat="1" applyFont="1" applyFill="1" applyBorder="1" applyAlignment="1">
      <alignment horizontal="right" vertical="center"/>
    </xf>
    <xf numFmtId="10" fontId="9" fillId="10" borderId="21" xfId="0" applyNumberFormat="1" applyFont="1" applyFill="1" applyBorder="1" applyAlignment="1">
      <alignment horizontal="right" vertical="center"/>
    </xf>
    <xf numFmtId="174" fontId="10" fillId="5" borderId="32" xfId="0" applyNumberFormat="1" applyFont="1" applyFill="1" applyBorder="1" applyAlignment="1">
      <alignment horizontal="center" vertical="center"/>
    </xf>
    <xf numFmtId="174" fontId="9" fillId="10" borderId="21" xfId="0" applyNumberFormat="1" applyFont="1" applyFill="1" applyBorder="1" applyAlignment="1">
      <alignment horizontal="center" vertical="center"/>
    </xf>
    <xf numFmtId="174" fontId="9" fillId="15" borderId="21" xfId="0" applyNumberFormat="1" applyFont="1" applyFill="1" applyBorder="1" applyAlignment="1">
      <alignment horizontal="center" vertical="center"/>
    </xf>
    <xf numFmtId="10" fontId="9" fillId="15" borderId="33" xfId="0" applyNumberFormat="1" applyFont="1" applyFill="1" applyBorder="1" applyAlignment="1">
      <alignment horizontal="right" vertical="center"/>
    </xf>
    <xf numFmtId="10" fontId="38" fillId="24" borderId="0" xfId="0" applyNumberFormat="1" applyFont="1" applyFill="1" applyAlignment="1">
      <alignment horizontal="right" vertical="center"/>
    </xf>
    <xf numFmtId="0" fontId="12" fillId="0" borderId="0" xfId="0" applyFont="1" applyProtection="1">
      <protection locked="0"/>
    </xf>
    <xf numFmtId="0" fontId="26" fillId="21" borderId="6" xfId="0" applyFont="1" applyFill="1" applyBorder="1" applyProtection="1">
      <protection locked="0"/>
    </xf>
    <xf numFmtId="0" fontId="7" fillId="0" borderId="0" xfId="0" applyFont="1" applyProtection="1">
      <protection locked="0"/>
    </xf>
    <xf numFmtId="0" fontId="3" fillId="3" borderId="1" xfId="0" applyFont="1" applyFill="1" applyBorder="1" applyAlignment="1" applyProtection="1">
      <alignment horizontal="right" vertical="center" wrapText="1"/>
      <protection locked="0"/>
    </xf>
    <xf numFmtId="0" fontId="3" fillId="13" borderId="0" xfId="0" applyFont="1" applyFill="1" applyAlignment="1" applyProtection="1">
      <alignment vertical="center"/>
      <protection locked="0"/>
    </xf>
    <xf numFmtId="0" fontId="3" fillId="13" borderId="0" xfId="0" applyFont="1" applyFill="1" applyAlignment="1" applyProtection="1">
      <alignment vertical="center" wrapText="1"/>
      <protection locked="0"/>
    </xf>
    <xf numFmtId="0" fontId="38" fillId="15" borderId="6" xfId="0" applyFont="1" applyFill="1" applyBorder="1" applyAlignment="1" applyProtection="1">
      <alignment horizontal="left" vertical="center"/>
      <protection locked="0"/>
    </xf>
    <xf numFmtId="0" fontId="6" fillId="11" borderId="0" xfId="0" applyFont="1" applyFill="1" applyProtection="1">
      <protection locked="0"/>
    </xf>
    <xf numFmtId="0" fontId="9" fillId="12" borderId="6" xfId="0" applyFont="1" applyFill="1" applyBorder="1" applyAlignment="1" applyProtection="1">
      <alignment horizontal="left" vertical="center"/>
      <protection locked="0"/>
    </xf>
    <xf numFmtId="0" fontId="9" fillId="10" borderId="6" xfId="0" applyFont="1" applyFill="1" applyBorder="1" applyAlignment="1" applyProtection="1">
      <alignment horizontal="left" vertical="center"/>
      <protection locked="0"/>
    </xf>
    <xf numFmtId="0" fontId="26" fillId="25" borderId="6" xfId="0" applyFont="1" applyFill="1" applyBorder="1" applyAlignment="1" applyProtection="1">
      <alignment horizontal="left" vertical="center"/>
      <protection locked="0"/>
    </xf>
    <xf numFmtId="169" fontId="10" fillId="10" borderId="6" xfId="0" applyNumberFormat="1" applyFont="1" applyFill="1" applyBorder="1" applyAlignment="1" applyProtection="1">
      <alignment horizontal="right" vertical="center"/>
      <protection locked="0"/>
    </xf>
    <xf numFmtId="0" fontId="26" fillId="25" borderId="0" xfId="0" applyFont="1" applyFill="1" applyAlignment="1" applyProtection="1">
      <alignment horizontal="left" vertical="center"/>
      <protection locked="0"/>
    </xf>
    <xf numFmtId="0" fontId="9" fillId="15" borderId="8" xfId="0" applyFont="1" applyFill="1" applyBorder="1" applyAlignment="1" applyProtection="1">
      <alignment horizontal="left" vertical="center"/>
      <protection locked="0"/>
    </xf>
    <xf numFmtId="0" fontId="9" fillId="15" borderId="35" xfId="0" applyFont="1" applyFill="1" applyBorder="1" applyAlignment="1" applyProtection="1">
      <alignment horizontal="left" vertical="center"/>
      <protection locked="0"/>
    </xf>
    <xf numFmtId="174" fontId="9" fillId="15" borderId="8" xfId="0" applyNumberFormat="1" applyFont="1" applyFill="1" applyBorder="1" applyAlignment="1" applyProtection="1">
      <alignment horizontal="left" vertical="center"/>
      <protection locked="0"/>
    </xf>
    <xf numFmtId="0" fontId="6" fillId="0" borderId="4" xfId="0" applyFont="1" applyBorder="1" applyProtection="1">
      <protection locked="0"/>
    </xf>
    <xf numFmtId="0" fontId="6" fillId="0" borderId="36" xfId="0" applyFont="1" applyBorder="1" applyProtection="1">
      <protection locked="0"/>
    </xf>
    <xf numFmtId="0" fontId="7" fillId="15" borderId="4" xfId="0" applyFont="1" applyFill="1" applyBorder="1" applyAlignment="1" applyProtection="1">
      <alignment horizontal="left" vertical="center"/>
      <protection locked="0"/>
    </xf>
    <xf numFmtId="0" fontId="9" fillId="15" borderId="4" xfId="0" applyFont="1" applyFill="1" applyBorder="1" applyAlignment="1" applyProtection="1">
      <alignment horizontal="left" vertical="center"/>
      <protection locked="0"/>
    </xf>
    <xf numFmtId="0" fontId="9" fillId="15" borderId="36" xfId="0" applyFont="1" applyFill="1" applyBorder="1" applyAlignment="1" applyProtection="1">
      <alignment horizontal="left" vertical="center"/>
      <protection locked="0"/>
    </xf>
    <xf numFmtId="0" fontId="26" fillId="25" borderId="4" xfId="0" applyFont="1" applyFill="1" applyBorder="1" applyAlignment="1" applyProtection="1">
      <alignment horizontal="left" vertical="center"/>
      <protection locked="0"/>
    </xf>
    <xf numFmtId="0" fontId="26" fillId="25" borderId="36" xfId="0" applyFont="1" applyFill="1" applyBorder="1" applyAlignment="1" applyProtection="1">
      <alignment horizontal="left" vertical="center"/>
      <protection locked="0"/>
    </xf>
    <xf numFmtId="0" fontId="9" fillId="22" borderId="6" xfId="0" applyFont="1" applyFill="1" applyBorder="1" applyAlignment="1" applyProtection="1">
      <alignment horizontal="left" vertical="center"/>
      <protection locked="0"/>
    </xf>
    <xf numFmtId="0" fontId="6" fillId="10" borderId="6" xfId="0" applyFont="1" applyFill="1" applyBorder="1" applyAlignment="1" applyProtection="1">
      <alignment horizontal="left" vertical="center"/>
      <protection locked="0"/>
    </xf>
    <xf numFmtId="0" fontId="38" fillId="24" borderId="6" xfId="0" applyFont="1" applyFill="1" applyBorder="1" applyAlignment="1" applyProtection="1">
      <alignment horizontal="left" vertical="center"/>
      <protection locked="0"/>
    </xf>
    <xf numFmtId="168" fontId="6" fillId="0" borderId="0" xfId="0" applyNumberFormat="1" applyFont="1" applyProtection="1">
      <protection locked="0"/>
    </xf>
    <xf numFmtId="0" fontId="38" fillId="5" borderId="6" xfId="0" applyFont="1" applyFill="1" applyBorder="1" applyAlignment="1" applyProtection="1">
      <alignment horizontal="left" vertical="center"/>
      <protection locked="0"/>
    </xf>
    <xf numFmtId="0" fontId="9" fillId="5" borderId="6" xfId="0" applyFont="1" applyFill="1" applyBorder="1" applyAlignment="1" applyProtection="1">
      <alignment horizontal="left" vertical="center"/>
      <protection locked="0"/>
    </xf>
    <xf numFmtId="174" fontId="10" fillId="11" borderId="6" xfId="0" applyNumberFormat="1" applyFont="1" applyFill="1" applyBorder="1" applyProtection="1">
      <protection locked="0"/>
    </xf>
    <xf numFmtId="0" fontId="6" fillId="22" borderId="6" xfId="0" applyFont="1" applyFill="1" applyBorder="1" applyProtection="1">
      <protection locked="0"/>
    </xf>
    <xf numFmtId="174" fontId="10" fillId="22" borderId="6" xfId="0" applyNumberFormat="1" applyFont="1" applyFill="1" applyBorder="1" applyAlignment="1" applyProtection="1">
      <alignment horizontal="right" vertical="center"/>
      <protection locked="0"/>
    </xf>
    <xf numFmtId="0" fontId="6" fillId="0" borderId="6" xfId="0" applyFont="1" applyBorder="1" applyProtection="1">
      <protection locked="0"/>
    </xf>
    <xf numFmtId="0" fontId="26" fillId="23" borderId="6" xfId="0" applyFont="1" applyFill="1" applyBorder="1" applyProtection="1">
      <protection locked="0"/>
    </xf>
    <xf numFmtId="0" fontId="40" fillId="0" borderId="0" xfId="0" applyFont="1" applyProtection="1">
      <protection locked="0"/>
    </xf>
    <xf numFmtId="174" fontId="10" fillId="10" borderId="6" xfId="0" applyNumberFormat="1" applyFont="1" applyFill="1" applyBorder="1" applyAlignment="1" applyProtection="1">
      <alignment horizontal="right" vertical="center"/>
      <protection locked="0"/>
    </xf>
    <xf numFmtId="0" fontId="39" fillId="26" borderId="6" xfId="0" applyFont="1" applyFill="1" applyBorder="1" applyAlignment="1" applyProtection="1">
      <alignment horizontal="left" vertical="center"/>
      <protection locked="0"/>
    </xf>
    <xf numFmtId="0" fontId="38" fillId="26" borderId="6" xfId="0" applyFont="1" applyFill="1" applyBorder="1" applyAlignment="1" applyProtection="1">
      <alignment horizontal="left" vertical="center"/>
      <protection locked="0"/>
    </xf>
    <xf numFmtId="0" fontId="43" fillId="27" borderId="0" xfId="0" applyFont="1" applyFill="1" applyProtection="1">
      <protection locked="0"/>
    </xf>
    <xf numFmtId="1" fontId="4" fillId="0" borderId="0" xfId="0" applyNumberFormat="1" applyFont="1" applyProtection="1">
      <protection locked="0"/>
    </xf>
    <xf numFmtId="164" fontId="42" fillId="0" borderId="6" xfId="0" applyNumberFormat="1" applyFont="1" applyBorder="1"/>
    <xf numFmtId="165" fontId="42" fillId="0" borderId="6" xfId="0" applyNumberFormat="1" applyFont="1" applyBorder="1"/>
    <xf numFmtId="174" fontId="38" fillId="15" borderId="6" xfId="0" applyNumberFormat="1" applyFont="1" applyFill="1" applyBorder="1" applyAlignment="1">
      <alignment horizontal="right" vertical="center"/>
    </xf>
    <xf numFmtId="174" fontId="9" fillId="12" borderId="6" xfId="0" applyNumberFormat="1" applyFont="1" applyFill="1" applyBorder="1" applyAlignment="1">
      <alignment horizontal="right" vertical="center"/>
    </xf>
    <xf numFmtId="174" fontId="9" fillId="10" borderId="6" xfId="0" applyNumberFormat="1" applyFont="1" applyFill="1" applyBorder="1" applyAlignment="1">
      <alignment horizontal="right" vertical="center"/>
    </xf>
    <xf numFmtId="174" fontId="26" fillId="25" borderId="6" xfId="0" applyNumberFormat="1" applyFont="1" applyFill="1" applyBorder="1" applyAlignment="1">
      <alignment horizontal="right" vertical="center"/>
    </xf>
    <xf numFmtId="164" fontId="9" fillId="12" borderId="6" xfId="0" applyNumberFormat="1" applyFont="1" applyFill="1" applyBorder="1" applyAlignment="1">
      <alignment horizontal="right" vertical="center"/>
    </xf>
    <xf numFmtId="174" fontId="26" fillId="25" borderId="17" xfId="0" applyNumberFormat="1" applyFont="1" applyFill="1" applyBorder="1" applyAlignment="1">
      <alignment horizontal="right" vertical="center"/>
    </xf>
    <xf numFmtId="174" fontId="9" fillId="15" borderId="8" xfId="0" applyNumberFormat="1" applyFont="1" applyFill="1" applyBorder="1" applyAlignment="1">
      <alignment horizontal="right" vertical="center"/>
    </xf>
    <xf numFmtId="164" fontId="9" fillId="10" borderId="4" xfId="0" applyNumberFormat="1" applyFont="1" applyFill="1" applyBorder="1" applyAlignment="1">
      <alignment horizontal="right" vertical="center"/>
    </xf>
    <xf numFmtId="174" fontId="7" fillId="15" borderId="4" xfId="0" applyNumberFormat="1" applyFont="1" applyFill="1" applyBorder="1" applyAlignment="1">
      <alignment horizontal="right" vertical="center"/>
    </xf>
    <xf numFmtId="174" fontId="26" fillId="25" borderId="4" xfId="0" applyNumberFormat="1" applyFont="1" applyFill="1" applyBorder="1" applyAlignment="1">
      <alignment horizontal="right" vertical="center"/>
    </xf>
    <xf numFmtId="164" fontId="23" fillId="0" borderId="0" xfId="0" applyNumberFormat="1" applyFont="1"/>
    <xf numFmtId="2" fontId="23" fillId="0" borderId="0" xfId="0" applyNumberFormat="1" applyFont="1"/>
    <xf numFmtId="174" fontId="9" fillId="22" borderId="6" xfId="0" applyNumberFormat="1" applyFont="1" applyFill="1" applyBorder="1" applyAlignment="1">
      <alignment horizontal="right" vertical="center"/>
    </xf>
    <xf numFmtId="174" fontId="6" fillId="10" borderId="6" xfId="0" applyNumberFormat="1" applyFont="1" applyFill="1" applyBorder="1" applyAlignment="1">
      <alignment horizontal="right" vertical="center"/>
    </xf>
    <xf numFmtId="174" fontId="38" fillId="24" borderId="6" xfId="0" applyNumberFormat="1" applyFont="1" applyFill="1" applyBorder="1" applyAlignment="1">
      <alignment horizontal="right" vertical="center"/>
    </xf>
    <xf numFmtId="174" fontId="6" fillId="22" borderId="6" xfId="0" applyNumberFormat="1" applyFont="1" applyFill="1" applyBorder="1"/>
    <xf numFmtId="174" fontId="38" fillId="0" borderId="6" xfId="0" applyNumberFormat="1" applyFont="1" applyBorder="1"/>
    <xf numFmtId="174" fontId="6" fillId="0" borderId="6" xfId="0" applyNumberFormat="1" applyFont="1" applyBorder="1"/>
    <xf numFmtId="174" fontId="26" fillId="23" borderId="6" xfId="0" applyNumberFormat="1" applyFont="1" applyFill="1" applyBorder="1"/>
    <xf numFmtId="9" fontId="6" fillId="11" borderId="6" xfId="0" applyNumberFormat="1" applyFont="1" applyFill="1" applyBorder="1"/>
    <xf numFmtId="9" fontId="22" fillId="11" borderId="6" xfId="0" applyNumberFormat="1" applyFont="1" applyFill="1" applyBorder="1"/>
    <xf numFmtId="174" fontId="44" fillId="27" borderId="0" xfId="0" applyNumberFormat="1" applyFont="1" applyFill="1"/>
    <xf numFmtId="10" fontId="0" fillId="0" borderId="0" xfId="0" applyNumberFormat="1" applyAlignment="1" applyProtection="1">
      <alignment horizontal="center"/>
      <protection locked="0"/>
    </xf>
    <xf numFmtId="10" fontId="0" fillId="0" borderId="45" xfId="0" applyNumberFormat="1" applyBorder="1" applyAlignment="1" applyProtection="1">
      <alignment horizontal="center"/>
      <protection locked="0"/>
    </xf>
    <xf numFmtId="0" fontId="49" fillId="0" borderId="0" xfId="0" applyFont="1" applyProtection="1">
      <protection locked="0"/>
    </xf>
    <xf numFmtId="171" fontId="0" fillId="0" borderId="0" xfId="0" applyNumberFormat="1" applyAlignment="1" applyProtection="1">
      <alignment horizontal="center"/>
      <protection locked="0"/>
    </xf>
    <xf numFmtId="171" fontId="0" fillId="0" borderId="45" xfId="0" applyNumberFormat="1" applyBorder="1" applyAlignment="1" applyProtection="1">
      <alignment horizontal="center"/>
      <protection locked="0"/>
    </xf>
    <xf numFmtId="10" fontId="6" fillId="11" borderId="0" xfId="0" applyNumberFormat="1" applyFont="1" applyFill="1" applyProtection="1">
      <protection locked="0"/>
    </xf>
    <xf numFmtId="174" fontId="21" fillId="31" borderId="37" xfId="0" applyNumberFormat="1" applyFont="1" applyFill="1" applyBorder="1" applyAlignment="1">
      <alignment horizontal="center"/>
    </xf>
    <xf numFmtId="174" fontId="27" fillId="0" borderId="38" xfId="0" applyNumberFormat="1" applyFont="1" applyBorder="1" applyAlignment="1">
      <alignment horizontal="center"/>
    </xf>
    <xf numFmtId="174" fontId="27" fillId="0" borderId="39" xfId="0" applyNumberFormat="1" applyFont="1" applyBorder="1" applyAlignment="1">
      <alignment horizontal="center"/>
    </xf>
    <xf numFmtId="174" fontId="27" fillId="0" borderId="40" xfId="0" applyNumberFormat="1" applyFont="1" applyBorder="1" applyAlignment="1">
      <alignment horizontal="center"/>
    </xf>
    <xf numFmtId="174" fontId="27" fillId="0" borderId="41" xfId="0" applyNumberFormat="1" applyFont="1" applyBorder="1" applyAlignment="1">
      <alignment horizontal="center"/>
    </xf>
    <xf numFmtId="174" fontId="27" fillId="0" borderId="0" xfId="0" applyNumberFormat="1" applyFont="1" applyAlignment="1">
      <alignment horizontal="center"/>
    </xf>
    <xf numFmtId="174" fontId="27" fillId="0" borderId="42" xfId="0" applyNumberFormat="1" applyFont="1" applyBorder="1" applyAlignment="1">
      <alignment horizontal="center"/>
    </xf>
    <xf numFmtId="174" fontId="27" fillId="32" borderId="0" xfId="0" applyNumberFormat="1" applyFont="1" applyFill="1" applyAlignment="1">
      <alignment horizontal="center"/>
    </xf>
    <xf numFmtId="174" fontId="27" fillId="0" borderId="43" xfId="0" applyNumberFormat="1" applyFont="1" applyBorder="1" applyAlignment="1">
      <alignment horizontal="center"/>
    </xf>
    <xf numFmtId="174" fontId="27" fillId="0" borderId="44" xfId="0" applyNumberFormat="1" applyFont="1" applyBorder="1" applyAlignment="1">
      <alignment horizontal="center"/>
    </xf>
    <xf numFmtId="174" fontId="27" fillId="0" borderId="45" xfId="0" applyNumberFormat="1" applyFont="1" applyBorder="1" applyAlignment="1">
      <alignment horizontal="center"/>
    </xf>
    <xf numFmtId="164" fontId="48" fillId="11" borderId="0" xfId="0" applyNumberFormat="1" applyFont="1" applyFill="1"/>
    <xf numFmtId="10" fontId="48" fillId="11" borderId="0" xfId="0" applyNumberFormat="1" applyFont="1" applyFill="1"/>
    <xf numFmtId="164" fontId="50" fillId="11" borderId="0" xfId="0" applyNumberFormat="1" applyFont="1" applyFill="1"/>
    <xf numFmtId="165" fontId="50" fillId="11" borderId="0" xfId="0" applyNumberFormat="1" applyFont="1" applyFill="1"/>
    <xf numFmtId="174" fontId="27" fillId="33" borderId="0" xfId="0" applyNumberFormat="1" applyFont="1" applyFill="1" applyAlignment="1">
      <alignment horizontal="center"/>
    </xf>
    <xf numFmtId="0" fontId="48" fillId="0" borderId="0" xfId="0" applyFont="1"/>
    <xf numFmtId="0" fontId="6" fillId="0" borderId="0" xfId="0" applyFont="1"/>
    <xf numFmtId="0" fontId="3" fillId="3" borderId="18" xfId="0" applyFont="1" applyFill="1" applyBorder="1" applyAlignment="1" applyProtection="1">
      <alignment horizontal="center" vertical="center" wrapText="1"/>
      <protection locked="0"/>
    </xf>
    <xf numFmtId="0" fontId="3" fillId="3" borderId="31" xfId="0" applyFont="1" applyFill="1" applyBorder="1" applyAlignment="1" applyProtection="1">
      <alignment horizontal="center" vertical="center" wrapText="1"/>
      <protection locked="0"/>
    </xf>
    <xf numFmtId="0" fontId="23" fillId="0" borderId="0" xfId="0" applyFont="1" applyProtection="1">
      <protection locked="0"/>
    </xf>
    <xf numFmtId="174" fontId="9" fillId="10" borderId="65" xfId="0" applyNumberFormat="1" applyFont="1" applyFill="1" applyBorder="1" applyAlignment="1" applyProtection="1">
      <alignment horizontal="center" vertical="center" wrapText="1"/>
      <protection locked="0"/>
    </xf>
    <xf numFmtId="174" fontId="9" fillId="5" borderId="64" xfId="0" applyNumberFormat="1" applyFont="1" applyFill="1" applyBorder="1" applyAlignment="1">
      <alignment horizontal="center" vertical="center" wrapText="1"/>
    </xf>
    <xf numFmtId="174" fontId="9" fillId="15" borderId="6" xfId="0" applyNumberFormat="1" applyFont="1" applyFill="1" applyBorder="1" applyAlignment="1">
      <alignment horizontal="center" vertical="center" wrapText="1"/>
    </xf>
    <xf numFmtId="174" fontId="9" fillId="5" borderId="6" xfId="0" applyNumberFormat="1" applyFont="1" applyFill="1" applyBorder="1" applyAlignment="1">
      <alignment horizontal="center" vertical="center" wrapText="1"/>
    </xf>
    <xf numFmtId="3" fontId="23" fillId="0" borderId="0" xfId="0" applyNumberFormat="1" applyFont="1"/>
    <xf numFmtId="175" fontId="54" fillId="37" borderId="0" xfId="0" applyNumberFormat="1" applyFont="1" applyFill="1" applyAlignment="1">
      <alignment horizontal="center" vertical="center"/>
    </xf>
    <xf numFmtId="0" fontId="55" fillId="0" borderId="71" xfId="0" applyFont="1" applyBorder="1" applyAlignment="1">
      <alignment horizontal="center"/>
    </xf>
    <xf numFmtId="175" fontId="57" fillId="0" borderId="72" xfId="1" applyNumberFormat="1" applyFont="1" applyBorder="1" applyAlignment="1" applyProtection="1">
      <alignment horizontal="center" wrapText="1"/>
    </xf>
    <xf numFmtId="175" fontId="57" fillId="0" borderId="72" xfId="1" applyNumberFormat="1" applyFont="1" applyBorder="1" applyAlignment="1" applyProtection="1">
      <alignment horizontal="center" vertical="center"/>
    </xf>
    <xf numFmtId="0" fontId="3" fillId="13" borderId="3" xfId="0" applyFont="1" applyFill="1" applyBorder="1" applyAlignment="1" applyProtection="1">
      <alignment horizontal="center" vertical="center" wrapText="1"/>
      <protection locked="0"/>
    </xf>
    <xf numFmtId="0" fontId="3" fillId="13" borderId="0" xfId="0" applyFont="1" applyFill="1" applyAlignment="1" applyProtection="1">
      <alignment horizontal="center" vertical="center" wrapText="1"/>
      <protection locked="0"/>
    </xf>
    <xf numFmtId="0" fontId="13" fillId="13" borderId="2" xfId="0" applyFont="1" applyFill="1" applyBorder="1" applyAlignment="1" applyProtection="1">
      <alignment horizontal="center" vertical="center"/>
      <protection locked="0"/>
    </xf>
    <xf numFmtId="0" fontId="36" fillId="13" borderId="9" xfId="0" applyFont="1" applyFill="1" applyBorder="1" applyAlignment="1" applyProtection="1">
      <alignment horizontal="center" vertical="center" wrapText="1"/>
      <protection locked="0"/>
    </xf>
    <xf numFmtId="0" fontId="36" fillId="13" borderId="10" xfId="0" applyFont="1" applyFill="1" applyBorder="1" applyAlignment="1" applyProtection="1">
      <alignment horizontal="center" vertical="center" wrapText="1"/>
      <protection locked="0"/>
    </xf>
    <xf numFmtId="0" fontId="36" fillId="13" borderId="11" xfId="0" applyFont="1" applyFill="1" applyBorder="1" applyAlignment="1" applyProtection="1">
      <alignment horizontal="center" vertical="center" wrapText="1"/>
      <protection locked="0"/>
    </xf>
    <xf numFmtId="0" fontId="30" fillId="0" borderId="0" xfId="0" applyFont="1" applyAlignment="1" applyProtection="1">
      <alignment horizontal="left" vertical="top" wrapText="1"/>
      <protection locked="0"/>
    </xf>
    <xf numFmtId="0" fontId="28" fillId="13" borderId="9" xfId="0" applyFont="1" applyFill="1" applyBorder="1" applyAlignment="1" applyProtection="1">
      <alignment horizontal="center" vertical="center"/>
      <protection locked="0"/>
    </xf>
    <xf numFmtId="0" fontId="28" fillId="13" borderId="10" xfId="0" applyFont="1" applyFill="1" applyBorder="1" applyAlignment="1" applyProtection="1">
      <alignment horizontal="center" vertical="center"/>
      <protection locked="0"/>
    </xf>
    <xf numFmtId="0" fontId="28" fillId="13" borderId="11" xfId="0" applyFont="1" applyFill="1" applyBorder="1" applyAlignment="1" applyProtection="1">
      <alignment horizontal="center" vertical="center"/>
      <protection locked="0"/>
    </xf>
    <xf numFmtId="0" fontId="5" fillId="0" borderId="0" xfId="0" applyFont="1" applyAlignment="1" applyProtection="1">
      <alignment vertical="top" wrapText="1"/>
      <protection locked="0"/>
    </xf>
    <xf numFmtId="0" fontId="3" fillId="13" borderId="16" xfId="0" applyFont="1" applyFill="1" applyBorder="1" applyAlignment="1" applyProtection="1">
      <alignment horizontal="left" vertical="center" wrapText="1"/>
      <protection locked="0"/>
    </xf>
    <xf numFmtId="0" fontId="3" fillId="13" borderId="31" xfId="0" applyFont="1" applyFill="1" applyBorder="1" applyAlignment="1" applyProtection="1">
      <alignment horizontal="left" vertical="center" wrapText="1"/>
      <protection locked="0"/>
    </xf>
    <xf numFmtId="0" fontId="3" fillId="13" borderId="30" xfId="0" applyFont="1" applyFill="1" applyBorder="1" applyAlignment="1" applyProtection="1">
      <alignment horizontal="center" vertical="center" wrapText="1"/>
      <protection locked="0"/>
    </xf>
    <xf numFmtId="0" fontId="3" fillId="13" borderId="34" xfId="0" applyFont="1" applyFill="1" applyBorder="1" applyAlignment="1" applyProtection="1">
      <alignment horizontal="center" vertical="center" wrapText="1"/>
      <protection locked="0"/>
    </xf>
    <xf numFmtId="0" fontId="13" fillId="13" borderId="0" xfId="0" applyFont="1" applyFill="1" applyAlignment="1" applyProtection="1">
      <alignment horizontal="center" vertical="center" wrapText="1"/>
      <protection locked="0"/>
    </xf>
    <xf numFmtId="0" fontId="45" fillId="6" borderId="18" xfId="0" applyFont="1" applyFill="1" applyBorder="1" applyAlignment="1" applyProtection="1">
      <alignment horizontal="center" vertical="center" wrapText="1"/>
      <protection locked="0"/>
    </xf>
    <xf numFmtId="164" fontId="45" fillId="30" borderId="18" xfId="0" applyNumberFormat="1" applyFont="1" applyFill="1" applyBorder="1" applyAlignment="1">
      <alignment horizontal="center" vertical="center"/>
    </xf>
    <xf numFmtId="0" fontId="37" fillId="2" borderId="18" xfId="0" applyFont="1" applyFill="1" applyBorder="1" applyAlignment="1" applyProtection="1">
      <alignment horizontal="center" vertical="center" wrapText="1"/>
      <protection locked="0"/>
    </xf>
    <xf numFmtId="174" fontId="46" fillId="15" borderId="18" xfId="0" applyNumberFormat="1" applyFont="1" applyFill="1" applyBorder="1" applyAlignment="1">
      <alignment horizontal="center" vertical="center" wrapText="1"/>
    </xf>
    <xf numFmtId="0" fontId="37" fillId="28" borderId="18" xfId="0" applyFont="1" applyFill="1" applyBorder="1" applyAlignment="1" applyProtection="1">
      <alignment horizontal="center" vertical="center" wrapText="1"/>
      <protection locked="0"/>
    </xf>
    <xf numFmtId="0" fontId="37" fillId="29" borderId="18" xfId="0" applyFont="1" applyFill="1" applyBorder="1" applyAlignment="1" applyProtection="1">
      <alignment horizontal="center" vertical="center" wrapText="1"/>
      <protection locked="0"/>
    </xf>
    <xf numFmtId="0" fontId="2" fillId="13" borderId="0" xfId="0" applyFont="1" applyFill="1" applyAlignment="1" applyProtection="1">
      <alignment horizontal="center" vertical="center"/>
      <protection locked="0"/>
    </xf>
    <xf numFmtId="0" fontId="3" fillId="20" borderId="0" xfId="0" applyFont="1" applyFill="1" applyAlignment="1" applyProtection="1">
      <alignment horizontal="left" vertical="center" wrapText="1"/>
      <protection locked="0"/>
    </xf>
    <xf numFmtId="0" fontId="47" fillId="9" borderId="18" xfId="0" applyFont="1" applyFill="1" applyBorder="1" applyAlignment="1" applyProtection="1">
      <alignment horizontal="center" vertical="center" wrapText="1"/>
      <protection locked="0"/>
    </xf>
    <xf numFmtId="0" fontId="3" fillId="14" borderId="0" xfId="0" applyFont="1" applyFill="1" applyAlignment="1" applyProtection="1">
      <alignment horizontal="center" vertical="center" wrapText="1"/>
      <protection locked="0"/>
    </xf>
    <xf numFmtId="0" fontId="13" fillId="2" borderId="31" xfId="0" applyFont="1" applyFill="1" applyBorder="1" applyAlignment="1" applyProtection="1">
      <alignment horizontal="center" vertical="center" wrapText="1"/>
      <protection locked="0"/>
    </xf>
    <xf numFmtId="0" fontId="13" fillId="2" borderId="30" xfId="0" applyFont="1" applyFill="1" applyBorder="1" applyAlignment="1" applyProtection="1">
      <alignment horizontal="center" vertical="center" wrapText="1"/>
      <protection locked="0"/>
    </xf>
    <xf numFmtId="0" fontId="13" fillId="2" borderId="16" xfId="0" applyFont="1" applyFill="1" applyBorder="1" applyAlignment="1" applyProtection="1">
      <alignment horizontal="center" vertical="center" wrapText="1"/>
      <protection locked="0"/>
    </xf>
    <xf numFmtId="0" fontId="3" fillId="14" borderId="31" xfId="0" applyFont="1" applyFill="1" applyBorder="1" applyAlignment="1" applyProtection="1">
      <alignment horizontal="center" vertical="center" wrapText="1"/>
      <protection locked="0"/>
    </xf>
    <xf numFmtId="0" fontId="3" fillId="14" borderId="30" xfId="0" applyFont="1" applyFill="1" applyBorder="1" applyAlignment="1" applyProtection="1">
      <alignment horizontal="center" vertical="center" wrapText="1"/>
      <protection locked="0"/>
    </xf>
    <xf numFmtId="0" fontId="3" fillId="14" borderId="16" xfId="0" applyFont="1" applyFill="1" applyBorder="1" applyAlignment="1" applyProtection="1">
      <alignment horizontal="center" vertical="center" wrapText="1"/>
      <protection locked="0"/>
    </xf>
    <xf numFmtId="0" fontId="27" fillId="21" borderId="0" xfId="0" applyFont="1" applyFill="1" applyAlignment="1" applyProtection="1">
      <alignment horizontal="center" vertical="center" textRotation="90"/>
      <protection locked="0"/>
    </xf>
    <xf numFmtId="0" fontId="27" fillId="21" borderId="0" xfId="0" applyFont="1" applyFill="1" applyAlignment="1" applyProtection="1">
      <alignment horizontal="center"/>
      <protection locked="0"/>
    </xf>
    <xf numFmtId="0" fontId="26" fillId="34" borderId="3" xfId="0" applyFont="1" applyFill="1" applyBorder="1" applyAlignment="1">
      <alignment horizontal="center" vertical="center" wrapText="1"/>
    </xf>
    <xf numFmtId="0" fontId="26" fillId="34" borderId="0" xfId="0" applyFont="1" applyFill="1" applyAlignment="1">
      <alignment horizontal="center" vertical="center" wrapText="1"/>
    </xf>
    <xf numFmtId="0" fontId="26" fillId="35" borderId="3" xfId="0" applyFont="1" applyFill="1" applyBorder="1" applyAlignment="1">
      <alignment horizontal="center" vertical="center" wrapText="1"/>
    </xf>
    <xf numFmtId="0" fontId="26" fillId="35" borderId="0" xfId="0" applyFont="1" applyFill="1" applyAlignment="1">
      <alignment horizontal="center" vertical="center" wrapText="1"/>
    </xf>
    <xf numFmtId="0" fontId="7" fillId="36" borderId="3" xfId="0" applyFont="1" applyFill="1" applyBorder="1" applyAlignment="1">
      <alignment horizontal="center" vertical="center" wrapText="1"/>
    </xf>
    <xf numFmtId="0" fontId="7" fillId="36" borderId="0" xfId="0" applyFont="1" applyFill="1" applyAlignment="1">
      <alignment horizontal="center" vertical="center" wrapText="1"/>
    </xf>
    <xf numFmtId="0" fontId="9" fillId="15" borderId="66" xfId="0" applyFont="1" applyFill="1" applyBorder="1" applyAlignment="1" applyProtection="1">
      <alignment horizontal="left" vertical="center"/>
      <protection locked="0"/>
    </xf>
    <xf numFmtId="0" fontId="9" fillId="15" borderId="0" xfId="0" applyFont="1" applyFill="1" applyAlignment="1" applyProtection="1">
      <alignment horizontal="left" vertical="center"/>
      <protection locked="0"/>
    </xf>
    <xf numFmtId="0" fontId="9" fillId="15" borderId="48" xfId="0" applyFont="1" applyFill="1" applyBorder="1" applyAlignment="1" applyProtection="1">
      <alignment horizontal="left" vertical="center"/>
      <protection locked="0"/>
    </xf>
    <xf numFmtId="0" fontId="9" fillId="10" borderId="67" xfId="0" applyFont="1" applyFill="1" applyBorder="1" applyAlignment="1" applyProtection="1">
      <alignment horizontal="left" vertical="center"/>
      <protection locked="0"/>
    </xf>
    <xf numFmtId="0" fontId="9" fillId="10" borderId="68" xfId="0" applyFont="1" applyFill="1" applyBorder="1" applyAlignment="1" applyProtection="1">
      <alignment horizontal="left" vertical="center"/>
      <protection locked="0"/>
    </xf>
    <xf numFmtId="0" fontId="9" fillId="10" borderId="47" xfId="0" applyFont="1" applyFill="1" applyBorder="1" applyAlignment="1" applyProtection="1">
      <alignment horizontal="left" vertical="center"/>
      <protection locked="0"/>
    </xf>
    <xf numFmtId="0" fontId="13" fillId="2" borderId="0" xfId="0" applyFont="1" applyFill="1" applyAlignment="1" applyProtection="1">
      <alignment horizontal="left" vertical="center" wrapText="1"/>
      <protection locked="0"/>
    </xf>
    <xf numFmtId="0" fontId="3" fillId="3" borderId="34" xfId="0" applyFont="1" applyFill="1" applyBorder="1" applyAlignment="1" applyProtection="1">
      <alignment horizontal="left" vertical="center" wrapText="1"/>
      <protection locked="0"/>
    </xf>
    <xf numFmtId="0" fontId="3" fillId="3" borderId="24" xfId="0" applyFont="1" applyFill="1" applyBorder="1" applyAlignment="1" applyProtection="1">
      <alignment horizontal="left" vertical="center" wrapText="1"/>
      <protection locked="0"/>
    </xf>
    <xf numFmtId="0" fontId="9" fillId="5" borderId="66" xfId="0" applyFont="1" applyFill="1" applyBorder="1" applyAlignment="1" applyProtection="1">
      <alignment horizontal="left" vertical="center"/>
      <protection locked="0"/>
    </xf>
    <xf numFmtId="0" fontId="9" fillId="5" borderId="0" xfId="0" applyFont="1" applyFill="1" applyAlignment="1" applyProtection="1">
      <alignment horizontal="left" vertical="center"/>
      <protection locked="0"/>
    </xf>
    <xf numFmtId="0" fontId="9" fillId="5" borderId="48" xfId="0" applyFont="1" applyFill="1" applyBorder="1" applyAlignment="1" applyProtection="1">
      <alignment horizontal="left" vertical="center"/>
      <protection locked="0"/>
    </xf>
  </cellXfs>
  <cellStyles count="2">
    <cellStyle name="Hyperlink" xfId="1" builtinId="8"/>
    <cellStyle name="Normal" xfId="0" builtinId="0"/>
  </cellStyles>
  <dxfs count="8">
    <dxf>
      <font>
        <b/>
        <i val="0"/>
        <color rgb="FFFF0000"/>
      </font>
    </dxf>
    <dxf>
      <font>
        <b/>
        <i val="0"/>
        <color rgb="FFFF0000"/>
      </font>
      <fill>
        <patternFill>
          <bgColor theme="9" tint="0.39994506668294322"/>
        </patternFill>
      </fill>
    </dxf>
    <dxf>
      <font>
        <b/>
        <i val="0"/>
        <color rgb="FFFF0000"/>
      </font>
    </dxf>
    <dxf>
      <font>
        <color rgb="FFC45256"/>
      </font>
      <fill>
        <patternFill>
          <bgColor rgb="FFFED1D9"/>
        </patternFill>
      </fill>
    </dxf>
    <dxf>
      <font>
        <color rgb="FFCA8428"/>
      </font>
      <fill>
        <patternFill>
          <bgColor rgb="FFFDF0CB"/>
        </patternFill>
      </fill>
    </dxf>
    <dxf>
      <font>
        <b/>
        <i val="0"/>
        <color rgb="FF8FB68A"/>
      </font>
      <fill>
        <patternFill>
          <bgColor rgb="FFE0F0DE"/>
        </patternFill>
      </fill>
    </dxf>
    <dxf>
      <font>
        <b/>
        <i val="0"/>
        <color rgb="FFC27A21"/>
      </font>
      <fill>
        <patternFill>
          <bgColor rgb="FFFDF0CB"/>
        </patternFill>
      </fill>
    </dxf>
    <dxf>
      <font>
        <color rgb="FF1E53BD"/>
      </font>
      <fill>
        <patternFill>
          <bgColor rgb="FFDAE8FD"/>
        </patternFill>
      </fill>
    </dxf>
  </dxfs>
  <tableStyles count="1" defaultTableStyle="TableStyleMedium2" defaultPivotStyle="PivotStyleLight16">
    <tableStyle name="Invisible" pivot="0" table="0" count="0" xr9:uid="{20556509-87CA-4563-9E15-08C82AD9C855}"/>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FCE4D6"/>
      <rgbColor rgb="FF660066"/>
      <rgbColor rgb="FFFF8080"/>
      <rgbColor rgb="FF2E75B6"/>
      <rgbColor rgb="FFD6E4F0"/>
      <rgbColor rgb="FF000080"/>
      <rgbColor rgb="FFFF00FF"/>
      <rgbColor rgb="FFFFFF00"/>
      <rgbColor rgb="FF00FFFF"/>
      <rgbColor rgb="FF800080"/>
      <rgbColor rgb="FF800000"/>
      <rgbColor rgb="FF008080"/>
      <rgbColor rgb="FF0000FF"/>
      <rgbColor rgb="FF00B0F0"/>
      <rgbColor rgb="FFCCFFFF"/>
      <rgbColor rgb="FFC6EFCE"/>
      <rgbColor rgb="FFFFEB9C"/>
      <rgbColor rgb="FF99CCFF"/>
      <rgbColor rgb="FFFF99CC"/>
      <rgbColor rgb="FFCC99FF"/>
      <rgbColor rgb="FFFFC7CE"/>
      <rgbColor rgb="FF4472C4"/>
      <rgbColor rgb="FF33CCCC"/>
      <rgbColor rgb="FF99CC00"/>
      <rgbColor rgb="FFFFC000"/>
      <rgbColor rgb="FFFF9900"/>
      <rgbColor rgb="FFED7D31"/>
      <rgbColor rgb="FF66669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FF"/>
      <color rgb="FF2E75B6"/>
      <color rgb="FF244062"/>
      <color rgb="FF1F5F9B"/>
      <color rgb="FF003A70"/>
      <color rgb="FF003F72"/>
      <color rgb="FFEAF3FB"/>
      <color rgb="FFDAE8FD"/>
      <color rgb="FFAEC3DB"/>
      <color rgb="FF8198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rgbClr val="244062"/>
                </a:solidFill>
              </a:rPr>
              <a:t>Valuation Range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'Football Field Summary'!$F$3</c:f>
              <c:strCache>
                <c:ptCount val="1"/>
                <c:pt idx="0">
                  <c:v>Low (₹)</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7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Summary'!$B$4:$B$8</c:f>
              <c:strCache>
                <c:ptCount val="5"/>
                <c:pt idx="0">
                  <c:v>DCF — Bear Case</c:v>
                </c:pt>
                <c:pt idx="1">
                  <c:v>DCF — Base Case</c:v>
                </c:pt>
                <c:pt idx="2">
                  <c:v>DCF — Bull Case</c:v>
                </c:pt>
                <c:pt idx="3">
                  <c:v>EV/EBITDA (13.0x - 15.0x)</c:v>
                </c:pt>
                <c:pt idx="4">
                  <c:v>52-Week Range</c:v>
                </c:pt>
              </c:strCache>
            </c:strRef>
          </c:cat>
          <c:val>
            <c:numRef>
              <c:f>'Football Field Summary'!$F$4:$F$8</c:f>
              <c:numCache>
                <c:formatCode>_ [$₹-4009]\ * #,##0_ ;_ [$₹-4009]\ * \-#,##0_ ;_ [$₹-4009]\ * "-"??_ ;_ @_ </c:formatCode>
                <c:ptCount val="5"/>
                <c:pt idx="0">
                  <c:v>1430.2703440525368</c:v>
                </c:pt>
                <c:pt idx="1">
                  <c:v>1777.5125483011461</c:v>
                </c:pt>
                <c:pt idx="2">
                  <c:v>2471.0049645453469</c:v>
                </c:pt>
                <c:pt idx="3">
                  <c:v>3390.1230874471717</c:v>
                </c:pt>
                <c:pt idx="4">
                  <c:v>3288</c:v>
                </c:pt>
              </c:numCache>
            </c:numRef>
          </c:val>
          <c:extLst>
            <c:ext xmlns:c16="http://schemas.microsoft.com/office/drawing/2014/chart" uri="{C3380CC4-5D6E-409C-BE32-E72D297353CC}">
              <c16:uniqueId val="{00000000-A832-46F0-9472-3B146ABD9F04}"/>
            </c:ext>
          </c:extLst>
        </c:ser>
        <c:ser>
          <c:idx val="1"/>
          <c:order val="1"/>
          <c:tx>
            <c:strRef>
              <c:f>'Football Field Summary'!$G$3</c:f>
              <c:strCache>
                <c:ptCount val="1"/>
                <c:pt idx="0">
                  <c:v>High (₹)</c:v>
                </c:pt>
              </c:strCache>
            </c:strRef>
          </c:tx>
          <c:spPr>
            <a:solidFill>
              <a:srgbClr val="244062">
                <a:alpha val="94000"/>
              </a:srgbClr>
            </a:solidFill>
            <a:ln>
              <a:noFill/>
            </a:ln>
            <a:effectLst/>
          </c:spPr>
          <c:invertIfNegative val="0"/>
          <c:cat>
            <c:strRef>
              <c:f>'Football Field Summary'!$B$4:$B$8</c:f>
              <c:strCache>
                <c:ptCount val="5"/>
                <c:pt idx="0">
                  <c:v>DCF — Bear Case</c:v>
                </c:pt>
                <c:pt idx="1">
                  <c:v>DCF — Base Case</c:v>
                </c:pt>
                <c:pt idx="2">
                  <c:v>DCF — Bull Case</c:v>
                </c:pt>
                <c:pt idx="3">
                  <c:v>EV/EBITDA (13.0x - 15.0x)</c:v>
                </c:pt>
                <c:pt idx="4">
                  <c:v>52-Week Range</c:v>
                </c:pt>
              </c:strCache>
            </c:strRef>
          </c:cat>
          <c:val>
            <c:numRef>
              <c:f>'Football Field Summary'!$G$4:$G$8</c:f>
              <c:numCache>
                <c:formatCode>_ [$₹-4009]\ * #,##0_ ;_ [$₹-4009]\ * \-#,##0_ ;_ [$₹-4009]\ * "-"??_ ;_ @_ </c:formatCode>
                <c:ptCount val="5"/>
                <c:pt idx="0">
                  <c:v>1644.4052147205682</c:v>
                </c:pt>
                <c:pt idx="1">
                  <c:v>2042.1358443963709</c:v>
                </c:pt>
                <c:pt idx="2">
                  <c:v>2688.6485609959032</c:v>
                </c:pt>
                <c:pt idx="3">
                  <c:v>3935.5156236791713</c:v>
                </c:pt>
                <c:pt idx="4">
                  <c:v>4400</c:v>
                </c:pt>
              </c:numCache>
            </c:numRef>
          </c:val>
          <c:extLst>
            <c:ext xmlns:c16="http://schemas.microsoft.com/office/drawing/2014/chart" uri="{C3380CC4-5D6E-409C-BE32-E72D297353CC}">
              <c16:uniqueId val="{00000001-A832-46F0-9472-3B146ABD9F04}"/>
            </c:ext>
          </c:extLst>
        </c:ser>
        <c:ser>
          <c:idx val="2"/>
          <c:order val="2"/>
          <c:tx>
            <c:strRef>
              <c:f>'Football Field Summary'!$H$3</c:f>
              <c:strCache>
                <c:ptCount val="1"/>
                <c:pt idx="0">
                  <c:v>Helper Column</c:v>
                </c:pt>
              </c:strCache>
            </c:strRef>
          </c:tx>
          <c:spPr>
            <a:noFill/>
            <a:ln>
              <a:noFill/>
            </a:ln>
            <a:effectLst/>
          </c:spPr>
          <c:invertIfNegative val="0"/>
          <c:dLbls>
            <c:dLbl>
              <c:idx val="0"/>
              <c:layout>
                <c:manualLayout>
                  <c:x val="1.715235750375123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15-4C93-8297-BF7B9E42DD07}"/>
                </c:ext>
              </c:extLst>
            </c:dLbl>
            <c:dLbl>
              <c:idx val="1"/>
              <c:layout>
                <c:manualLayout>
                  <c:x val="2.144044687968888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15-4C93-8297-BF7B9E42DD07}"/>
                </c:ext>
              </c:extLst>
            </c:dLbl>
            <c:dLbl>
              <c:idx val="2"/>
              <c:layout>
                <c:manualLayout>
                  <c:x val="2.144044687968888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15-4C93-8297-BF7B9E42DD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F7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Summary'!$B$4:$B$8</c:f>
              <c:strCache>
                <c:ptCount val="5"/>
                <c:pt idx="0">
                  <c:v>DCF — Bear Case</c:v>
                </c:pt>
                <c:pt idx="1">
                  <c:v>DCF — Base Case</c:v>
                </c:pt>
                <c:pt idx="2">
                  <c:v>DCF — Bull Case</c:v>
                </c:pt>
                <c:pt idx="3">
                  <c:v>EV/EBITDA (13.0x - 15.0x)</c:v>
                </c:pt>
                <c:pt idx="4">
                  <c:v>52-Week Range</c:v>
                </c:pt>
              </c:strCache>
            </c:strRef>
          </c:cat>
          <c:val>
            <c:numRef>
              <c:f>'Football Field Summary'!$H$4:$H$8</c:f>
              <c:numCache>
                <c:formatCode>#,##0</c:formatCode>
                <c:ptCount val="5"/>
                <c:pt idx="0">
                  <c:v>214.13487066803145</c:v>
                </c:pt>
                <c:pt idx="1">
                  <c:v>264.62329609522476</c:v>
                </c:pt>
                <c:pt idx="2">
                  <c:v>217.64359645055629</c:v>
                </c:pt>
                <c:pt idx="3">
                  <c:v>545.39253623199966</c:v>
                </c:pt>
                <c:pt idx="4">
                  <c:v>1112</c:v>
                </c:pt>
              </c:numCache>
            </c:numRef>
          </c:val>
          <c:extLst>
            <c:ext xmlns:c16="http://schemas.microsoft.com/office/drawing/2014/chart" uri="{C3380CC4-5D6E-409C-BE32-E72D297353CC}">
              <c16:uniqueId val="{00000002-A832-46F0-9472-3B146ABD9F04}"/>
            </c:ext>
          </c:extLst>
        </c:ser>
        <c:dLbls>
          <c:showLegendKey val="0"/>
          <c:showVal val="0"/>
          <c:showCatName val="0"/>
          <c:showSerName val="0"/>
          <c:showPercent val="0"/>
          <c:showBubbleSize val="0"/>
        </c:dLbls>
        <c:gapWidth val="80"/>
        <c:overlap val="100"/>
        <c:axId val="1326154672"/>
        <c:axId val="1326158512"/>
      </c:barChart>
      <c:catAx>
        <c:axId val="1326154672"/>
        <c:scaling>
          <c:orientation val="minMax"/>
        </c:scaling>
        <c:delete val="0"/>
        <c:axPos val="l"/>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1000" b="1" i="0" u="none" strike="noStrike" kern="1200" baseline="0">
                <a:solidFill>
                  <a:srgbClr val="244062"/>
                </a:solidFill>
                <a:latin typeface="+mn-lt"/>
                <a:ea typeface="+mn-ea"/>
                <a:cs typeface="+mn-cs"/>
              </a:defRPr>
            </a:pPr>
            <a:endParaRPr lang="en-US"/>
          </a:p>
        </c:txPr>
        <c:crossAx val="1326158512"/>
        <c:crosses val="autoZero"/>
        <c:auto val="1"/>
        <c:lblAlgn val="ctr"/>
        <c:lblOffset val="100"/>
        <c:noMultiLvlLbl val="0"/>
      </c:catAx>
      <c:valAx>
        <c:axId val="1326158512"/>
        <c:scaling>
          <c:orientation val="minMax"/>
          <c:max val="9000"/>
        </c:scaling>
        <c:delete val="0"/>
        <c:axPos val="b"/>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44062"/>
                </a:solidFill>
                <a:latin typeface="+mn-lt"/>
                <a:ea typeface="+mn-ea"/>
                <a:cs typeface="+mn-cs"/>
              </a:defRPr>
            </a:pPr>
            <a:endParaRPr lang="en-US"/>
          </a:p>
        </c:txPr>
        <c:crossAx val="13261546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1</xdr:row>
      <xdr:rowOff>5715</xdr:rowOff>
    </xdr:from>
    <xdr:to>
      <xdr:col>1</xdr:col>
      <xdr:colOff>548640</xdr:colOff>
      <xdr:row>3</xdr:row>
      <xdr:rowOff>150494</xdr:rowOff>
    </xdr:to>
    <xdr:pic>
      <xdr:nvPicPr>
        <xdr:cNvPr id="3" name="Picture 2">
          <a:extLst>
            <a:ext uri="{FF2B5EF4-FFF2-40B4-BE49-F238E27FC236}">
              <a16:creationId xmlns:a16="http://schemas.microsoft.com/office/drawing/2014/main" id="{B1B847EC-1560-C4DF-70EA-592936C47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121" y="188595"/>
          <a:ext cx="510539" cy="510539"/>
        </a:xfrm>
        <a:prstGeom prst="rect">
          <a:avLst/>
        </a:prstGeom>
      </xdr:spPr>
    </xdr:pic>
    <xdr:clientData/>
  </xdr:twoCellAnchor>
  <xdr:twoCellAnchor>
    <xdr:from>
      <xdr:col>1</xdr:col>
      <xdr:colOff>586740</xdr:colOff>
      <xdr:row>0</xdr:row>
      <xdr:rowOff>175260</xdr:rowOff>
    </xdr:from>
    <xdr:to>
      <xdr:col>7</xdr:col>
      <xdr:colOff>38100</xdr:colOff>
      <xdr:row>4</xdr:row>
      <xdr:rowOff>68580</xdr:rowOff>
    </xdr:to>
    <xdr:sp macro="" textlink="">
      <xdr:nvSpPr>
        <xdr:cNvPr id="4" name="TextBox 3">
          <a:extLst>
            <a:ext uri="{FF2B5EF4-FFF2-40B4-BE49-F238E27FC236}">
              <a16:creationId xmlns:a16="http://schemas.microsoft.com/office/drawing/2014/main" id="{357E0DA1-07A0-190C-9FD7-881FD68E9821}"/>
            </a:ext>
          </a:extLst>
        </xdr:cNvPr>
        <xdr:cNvSpPr txBox="1"/>
      </xdr:nvSpPr>
      <xdr:spPr>
        <a:xfrm>
          <a:off x="746760" y="175260"/>
          <a:ext cx="310896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i="1">
              <a:solidFill>
                <a:srgbClr val="003A70"/>
              </a:solidFill>
              <a:latin typeface="Arial" panose="020B0604020202020204" pitchFamily="34" charset="0"/>
              <a:cs typeface="Arial" panose="020B0604020202020204" pitchFamily="34" charset="0"/>
            </a:rPr>
            <a:t>Larsen</a:t>
          </a:r>
          <a:r>
            <a:rPr lang="en-IN" sz="3200" i="1" baseline="0">
              <a:solidFill>
                <a:srgbClr val="003A70"/>
              </a:solidFill>
              <a:latin typeface="Arial" panose="020B0604020202020204" pitchFamily="34" charset="0"/>
              <a:cs typeface="Arial" panose="020B0604020202020204" pitchFamily="34" charset="0"/>
            </a:rPr>
            <a:t> &amp; Turbo</a:t>
          </a:r>
          <a:endParaRPr lang="en-IN" sz="3200" i="1">
            <a:solidFill>
              <a:srgbClr val="003A70"/>
            </a:solidFill>
            <a:latin typeface="Arial" panose="020B0604020202020204" pitchFamily="34" charset="0"/>
            <a:cs typeface="Arial" panose="020B0604020202020204" pitchFamily="34" charset="0"/>
          </a:endParaRPr>
        </a:p>
      </xdr:txBody>
    </xdr:sp>
    <xdr:clientData/>
  </xdr:twoCellAnchor>
  <xdr:twoCellAnchor>
    <xdr:from>
      <xdr:col>0</xdr:col>
      <xdr:colOff>152400</xdr:colOff>
      <xdr:row>5</xdr:row>
      <xdr:rowOff>30480</xdr:rowOff>
    </xdr:from>
    <xdr:to>
      <xdr:col>8</xdr:col>
      <xdr:colOff>274320</xdr:colOff>
      <xdr:row>8</xdr:row>
      <xdr:rowOff>121920</xdr:rowOff>
    </xdr:to>
    <xdr:sp macro="" textlink="">
      <xdr:nvSpPr>
        <xdr:cNvPr id="5" name="TextBox 4">
          <a:extLst>
            <a:ext uri="{FF2B5EF4-FFF2-40B4-BE49-F238E27FC236}">
              <a16:creationId xmlns:a16="http://schemas.microsoft.com/office/drawing/2014/main" id="{5FBB118D-7F27-C40A-3D2E-2223F312518E}"/>
            </a:ext>
          </a:extLst>
        </xdr:cNvPr>
        <xdr:cNvSpPr txBox="1"/>
      </xdr:nvSpPr>
      <xdr:spPr>
        <a:xfrm>
          <a:off x="152400" y="944880"/>
          <a:ext cx="46101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rgbClr val="244062"/>
              </a:solidFill>
            </a:rPr>
            <a:t>FINANCIAL MODEL</a:t>
          </a:r>
        </a:p>
      </xdr:txBody>
    </xdr:sp>
    <xdr:clientData/>
  </xdr:twoCellAnchor>
  <xdr:twoCellAnchor editAs="oneCell">
    <xdr:from>
      <xdr:col>13</xdr:col>
      <xdr:colOff>631</xdr:colOff>
      <xdr:row>0</xdr:row>
      <xdr:rowOff>0</xdr:rowOff>
    </xdr:from>
    <xdr:to>
      <xdr:col>21</xdr:col>
      <xdr:colOff>630</xdr:colOff>
      <xdr:row>14</xdr:row>
      <xdr:rowOff>7429</xdr:rowOff>
    </xdr:to>
    <xdr:pic>
      <xdr:nvPicPr>
        <xdr:cNvPr id="10" name="Picture 9">
          <a:extLst>
            <a:ext uri="{FF2B5EF4-FFF2-40B4-BE49-F238E27FC236}">
              <a16:creationId xmlns:a16="http://schemas.microsoft.com/office/drawing/2014/main" id="{C8D419E5-4E3B-9DCA-D5B0-07D14E1423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22759" y="0"/>
          <a:ext cx="4865614" cy="2761814"/>
        </a:xfrm>
        <a:prstGeom prst="rect">
          <a:avLst/>
        </a:prstGeom>
      </xdr:spPr>
    </xdr:pic>
    <xdr:clientData/>
  </xdr:twoCellAnchor>
  <xdr:twoCellAnchor editAs="oneCell">
    <xdr:from>
      <xdr:col>1</xdr:col>
      <xdr:colOff>398312</xdr:colOff>
      <xdr:row>16</xdr:row>
      <xdr:rowOff>102185</xdr:rowOff>
    </xdr:from>
    <xdr:to>
      <xdr:col>2</xdr:col>
      <xdr:colOff>258661</xdr:colOff>
      <xdr:row>19</xdr:row>
      <xdr:rowOff>33106</xdr:rowOff>
    </xdr:to>
    <xdr:pic>
      <xdr:nvPicPr>
        <xdr:cNvPr id="14" name="Picture 13">
          <a:extLst>
            <a:ext uri="{FF2B5EF4-FFF2-40B4-BE49-F238E27FC236}">
              <a16:creationId xmlns:a16="http://schemas.microsoft.com/office/drawing/2014/main" id="{361EDD5C-31D7-CAF0-6C1C-47409E3BCE0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646" t="37367" r="81888" b="38372"/>
        <a:stretch>
          <a:fillRect/>
        </a:stretch>
      </xdr:blipFill>
      <xdr:spPr>
        <a:xfrm>
          <a:off x="622018" y="3115231"/>
          <a:ext cx="468551" cy="476205"/>
        </a:xfrm>
        <a:prstGeom prst="rect">
          <a:avLst/>
        </a:prstGeom>
      </xdr:spPr>
    </xdr:pic>
    <xdr:clientData/>
  </xdr:twoCellAnchor>
  <xdr:twoCellAnchor editAs="oneCell">
    <xdr:from>
      <xdr:col>4</xdr:col>
      <xdr:colOff>382932</xdr:colOff>
      <xdr:row>16</xdr:row>
      <xdr:rowOff>142732</xdr:rowOff>
    </xdr:from>
    <xdr:to>
      <xdr:col>5</xdr:col>
      <xdr:colOff>243281</xdr:colOff>
      <xdr:row>20</xdr:row>
      <xdr:rowOff>17726</xdr:rowOff>
    </xdr:to>
    <xdr:pic>
      <xdr:nvPicPr>
        <xdr:cNvPr id="15" name="Picture 14">
          <a:extLst>
            <a:ext uri="{FF2B5EF4-FFF2-40B4-BE49-F238E27FC236}">
              <a16:creationId xmlns:a16="http://schemas.microsoft.com/office/drawing/2014/main" id="{D2EB79B6-DBF0-4F0D-B553-460A21C7C33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9112" t="37723" r="67422" b="38016"/>
        <a:stretch>
          <a:fillRect/>
        </a:stretch>
      </xdr:blipFill>
      <xdr:spPr>
        <a:xfrm>
          <a:off x="2431244" y="3155778"/>
          <a:ext cx="468551" cy="476205"/>
        </a:xfrm>
        <a:prstGeom prst="rect">
          <a:avLst/>
        </a:prstGeom>
      </xdr:spPr>
    </xdr:pic>
    <xdr:clientData/>
  </xdr:twoCellAnchor>
  <xdr:oneCellAnchor>
    <xdr:from>
      <xdr:col>7</xdr:col>
      <xdr:colOff>382932</xdr:colOff>
      <xdr:row>16</xdr:row>
      <xdr:rowOff>142732</xdr:rowOff>
    </xdr:from>
    <xdr:ext cx="468551" cy="476205"/>
    <xdr:pic>
      <xdr:nvPicPr>
        <xdr:cNvPr id="16" name="Picture 15">
          <a:extLst>
            <a:ext uri="{FF2B5EF4-FFF2-40B4-BE49-F238E27FC236}">
              <a16:creationId xmlns:a16="http://schemas.microsoft.com/office/drawing/2014/main" id="{7C103AB9-4963-4CBD-BE82-EEC280EE115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2975" t="39148" r="53559" b="36591"/>
        <a:stretch>
          <a:fillRect/>
        </a:stretch>
      </xdr:blipFill>
      <xdr:spPr>
        <a:xfrm>
          <a:off x="2431244" y="3155778"/>
          <a:ext cx="468551" cy="476205"/>
        </a:xfrm>
        <a:prstGeom prst="rect">
          <a:avLst/>
        </a:prstGeom>
      </xdr:spPr>
    </xdr:pic>
    <xdr:clientData/>
  </xdr:oneCellAnchor>
  <xdr:oneCellAnchor>
    <xdr:from>
      <xdr:col>10</xdr:col>
      <xdr:colOff>382932</xdr:colOff>
      <xdr:row>16</xdr:row>
      <xdr:rowOff>142732</xdr:rowOff>
    </xdr:from>
    <xdr:ext cx="468551" cy="476205"/>
    <xdr:pic>
      <xdr:nvPicPr>
        <xdr:cNvPr id="17" name="Picture 16">
          <a:extLst>
            <a:ext uri="{FF2B5EF4-FFF2-40B4-BE49-F238E27FC236}">
              <a16:creationId xmlns:a16="http://schemas.microsoft.com/office/drawing/2014/main" id="{ABAFC32F-9E52-4334-88D9-0FFDF33ACDB9}"/>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7843" t="37723" r="38691" b="38016"/>
        <a:stretch>
          <a:fillRect/>
        </a:stretch>
      </xdr:blipFill>
      <xdr:spPr>
        <a:xfrm>
          <a:off x="4255849" y="3155778"/>
          <a:ext cx="468551" cy="476205"/>
        </a:xfrm>
        <a:prstGeom prst="rect">
          <a:avLst/>
        </a:prstGeom>
      </xdr:spPr>
    </xdr:pic>
    <xdr:clientData/>
  </xdr:oneCellAnchor>
  <xdr:oneCellAnchor>
    <xdr:from>
      <xdr:col>13</xdr:col>
      <xdr:colOff>382932</xdr:colOff>
      <xdr:row>16</xdr:row>
      <xdr:rowOff>142732</xdr:rowOff>
    </xdr:from>
    <xdr:ext cx="468551" cy="476205"/>
    <xdr:pic>
      <xdr:nvPicPr>
        <xdr:cNvPr id="18" name="Picture 17">
          <a:extLst>
            <a:ext uri="{FF2B5EF4-FFF2-40B4-BE49-F238E27FC236}">
              <a16:creationId xmlns:a16="http://schemas.microsoft.com/office/drawing/2014/main" id="{8DE60C88-8E54-4C57-82D4-9E2DCEE5D2E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62309" t="39148" r="24225" b="36591"/>
        <a:stretch>
          <a:fillRect/>
        </a:stretch>
      </xdr:blipFill>
      <xdr:spPr>
        <a:xfrm>
          <a:off x="6080455" y="3155778"/>
          <a:ext cx="468551" cy="476205"/>
        </a:xfrm>
        <a:prstGeom prst="rect">
          <a:avLst/>
        </a:prstGeom>
      </xdr:spPr>
    </xdr:pic>
    <xdr:clientData/>
  </xdr:oneCellAnchor>
  <xdr:oneCellAnchor>
    <xdr:from>
      <xdr:col>19</xdr:col>
      <xdr:colOff>278069</xdr:colOff>
      <xdr:row>16</xdr:row>
      <xdr:rowOff>142732</xdr:rowOff>
    </xdr:from>
    <xdr:ext cx="468551" cy="476205"/>
    <xdr:pic>
      <xdr:nvPicPr>
        <xdr:cNvPr id="19" name="Picture 18">
          <a:extLst>
            <a:ext uri="{FF2B5EF4-FFF2-40B4-BE49-F238E27FC236}">
              <a16:creationId xmlns:a16="http://schemas.microsoft.com/office/drawing/2014/main" id="{B74F48B9-9A50-4759-B7A1-9DD99911EB9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79387" t="38436" r="7147" b="37303"/>
        <a:stretch>
          <a:fillRect/>
        </a:stretch>
      </xdr:blipFill>
      <xdr:spPr>
        <a:xfrm>
          <a:off x="11449408" y="3155778"/>
          <a:ext cx="468551" cy="476205"/>
        </a:xfrm>
        <a:prstGeom prst="rect">
          <a:avLst/>
        </a:prstGeom>
      </xdr:spPr>
    </xdr:pic>
    <xdr:clientData/>
  </xdr:oneCellAnchor>
  <xdr:twoCellAnchor editAs="oneCell">
    <xdr:from>
      <xdr:col>16</xdr:col>
      <xdr:colOff>335560</xdr:colOff>
      <xdr:row>16</xdr:row>
      <xdr:rowOff>125835</xdr:rowOff>
    </xdr:from>
    <xdr:to>
      <xdr:col>17</xdr:col>
      <xdr:colOff>293615</xdr:colOff>
      <xdr:row>20</xdr:row>
      <xdr:rowOff>34256</xdr:rowOff>
    </xdr:to>
    <xdr:pic>
      <xdr:nvPicPr>
        <xdr:cNvPr id="20" name="Picture 19">
          <a:extLst>
            <a:ext uri="{FF2B5EF4-FFF2-40B4-BE49-F238E27FC236}">
              <a16:creationId xmlns:a16="http://schemas.microsoft.com/office/drawing/2014/main" id="{DC72DAE2-DFD4-7482-AE5F-C1C27BF43270}"/>
            </a:ext>
          </a:extLst>
        </xdr:cNvPr>
        <xdr:cNvPicPr>
          <a:picLocks noChangeAspect="1"/>
        </xdr:cNvPicPr>
      </xdr:nvPicPr>
      <xdr:blipFill>
        <a:blip xmlns:r="http://schemas.openxmlformats.org/officeDocument/2006/relationships" r:embed="rId7"/>
        <a:stretch>
          <a:fillRect/>
        </a:stretch>
      </xdr:blipFill>
      <xdr:spPr>
        <a:xfrm>
          <a:off x="9682294" y="3138881"/>
          <a:ext cx="566257" cy="509632"/>
        </a:xfrm>
        <a:prstGeom prst="rect">
          <a:avLst/>
        </a:prstGeom>
      </xdr:spPr>
    </xdr:pic>
    <xdr:clientData/>
  </xdr:twoCellAnchor>
  <xdr:twoCellAnchor>
    <xdr:from>
      <xdr:col>3</xdr:col>
      <xdr:colOff>307596</xdr:colOff>
      <xdr:row>16</xdr:row>
      <xdr:rowOff>162890</xdr:rowOff>
    </xdr:from>
    <xdr:to>
      <xdr:col>3</xdr:col>
      <xdr:colOff>316740</xdr:colOff>
      <xdr:row>21</xdr:row>
      <xdr:rowOff>395684</xdr:rowOff>
    </xdr:to>
    <xdr:cxnSp macro="">
      <xdr:nvCxnSpPr>
        <xdr:cNvPr id="22" name="Straight Connector 21">
          <a:extLst>
            <a:ext uri="{FF2B5EF4-FFF2-40B4-BE49-F238E27FC236}">
              <a16:creationId xmlns:a16="http://schemas.microsoft.com/office/drawing/2014/main" id="{A6EBE264-A7C2-14D9-0C18-116A31EBA2DA}"/>
            </a:ext>
          </a:extLst>
        </xdr:cNvPr>
        <xdr:cNvCxnSpPr/>
      </xdr:nvCxnSpPr>
      <xdr:spPr>
        <a:xfrm flipH="1">
          <a:off x="1747706"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321581</xdr:colOff>
      <xdr:row>16</xdr:row>
      <xdr:rowOff>162890</xdr:rowOff>
    </xdr:from>
    <xdr:to>
      <xdr:col>6</xdr:col>
      <xdr:colOff>330725</xdr:colOff>
      <xdr:row>21</xdr:row>
      <xdr:rowOff>395684</xdr:rowOff>
    </xdr:to>
    <xdr:cxnSp macro="">
      <xdr:nvCxnSpPr>
        <xdr:cNvPr id="24" name="Straight Connector 23">
          <a:extLst>
            <a:ext uri="{FF2B5EF4-FFF2-40B4-BE49-F238E27FC236}">
              <a16:creationId xmlns:a16="http://schemas.microsoft.com/office/drawing/2014/main" id="{778694D0-0992-42D7-B787-C8E9E1D866B4}"/>
            </a:ext>
          </a:extLst>
        </xdr:cNvPr>
        <xdr:cNvCxnSpPr/>
      </xdr:nvCxnSpPr>
      <xdr:spPr>
        <a:xfrm flipH="1">
          <a:off x="3586297"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355138</xdr:colOff>
      <xdr:row>16</xdr:row>
      <xdr:rowOff>162890</xdr:rowOff>
    </xdr:from>
    <xdr:to>
      <xdr:col>9</xdr:col>
      <xdr:colOff>364282</xdr:colOff>
      <xdr:row>21</xdr:row>
      <xdr:rowOff>395684</xdr:rowOff>
    </xdr:to>
    <xdr:cxnSp macro="">
      <xdr:nvCxnSpPr>
        <xdr:cNvPr id="25" name="Straight Connector 24">
          <a:extLst>
            <a:ext uri="{FF2B5EF4-FFF2-40B4-BE49-F238E27FC236}">
              <a16:creationId xmlns:a16="http://schemas.microsoft.com/office/drawing/2014/main" id="{599CF55B-1C44-4647-9B80-7A1F94A1512E}"/>
            </a:ext>
          </a:extLst>
        </xdr:cNvPr>
        <xdr:cNvCxnSpPr/>
      </xdr:nvCxnSpPr>
      <xdr:spPr>
        <a:xfrm flipH="1">
          <a:off x="5444459"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367719</xdr:colOff>
      <xdr:row>16</xdr:row>
      <xdr:rowOff>162890</xdr:rowOff>
    </xdr:from>
    <xdr:to>
      <xdr:col>12</xdr:col>
      <xdr:colOff>376863</xdr:colOff>
      <xdr:row>21</xdr:row>
      <xdr:rowOff>395684</xdr:rowOff>
    </xdr:to>
    <xdr:cxnSp macro="">
      <xdr:nvCxnSpPr>
        <xdr:cNvPr id="26" name="Straight Connector 25">
          <a:extLst>
            <a:ext uri="{FF2B5EF4-FFF2-40B4-BE49-F238E27FC236}">
              <a16:creationId xmlns:a16="http://schemas.microsoft.com/office/drawing/2014/main" id="{EE9DEDB6-4191-4559-B6D2-DDCA065DF691}"/>
            </a:ext>
          </a:extLst>
        </xdr:cNvPr>
        <xdr:cNvCxnSpPr/>
      </xdr:nvCxnSpPr>
      <xdr:spPr>
        <a:xfrm flipH="1">
          <a:off x="7281646"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352337</xdr:colOff>
      <xdr:row>16</xdr:row>
      <xdr:rowOff>162890</xdr:rowOff>
    </xdr:from>
    <xdr:to>
      <xdr:col>15</xdr:col>
      <xdr:colOff>361481</xdr:colOff>
      <xdr:row>21</xdr:row>
      <xdr:rowOff>395684</xdr:rowOff>
    </xdr:to>
    <xdr:cxnSp macro="">
      <xdr:nvCxnSpPr>
        <xdr:cNvPr id="27" name="Straight Connector 26">
          <a:extLst>
            <a:ext uri="{FF2B5EF4-FFF2-40B4-BE49-F238E27FC236}">
              <a16:creationId xmlns:a16="http://schemas.microsoft.com/office/drawing/2014/main" id="{39A3B865-8CCA-4F2E-BECF-D8FE75E59E52}"/>
            </a:ext>
          </a:extLst>
        </xdr:cNvPr>
        <xdr:cNvCxnSpPr/>
      </xdr:nvCxnSpPr>
      <xdr:spPr>
        <a:xfrm flipH="1">
          <a:off x="9090869"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350933</xdr:colOff>
      <xdr:row>16</xdr:row>
      <xdr:rowOff>162890</xdr:rowOff>
    </xdr:from>
    <xdr:to>
      <xdr:col>18</xdr:col>
      <xdr:colOff>360077</xdr:colOff>
      <xdr:row>21</xdr:row>
      <xdr:rowOff>395684</xdr:rowOff>
    </xdr:to>
    <xdr:cxnSp macro="">
      <xdr:nvCxnSpPr>
        <xdr:cNvPr id="28" name="Straight Connector 27">
          <a:extLst>
            <a:ext uri="{FF2B5EF4-FFF2-40B4-BE49-F238E27FC236}">
              <a16:creationId xmlns:a16="http://schemas.microsoft.com/office/drawing/2014/main" id="{E5F7DA60-C7EA-4A56-AB82-11200AD8B767}"/>
            </a:ext>
          </a:extLst>
        </xdr:cNvPr>
        <xdr:cNvCxnSpPr/>
      </xdr:nvCxnSpPr>
      <xdr:spPr>
        <a:xfrm flipH="1">
          <a:off x="10914071" y="3175936"/>
          <a:ext cx="9144" cy="1022757"/>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7257</xdr:colOff>
      <xdr:row>23</xdr:row>
      <xdr:rowOff>36285</xdr:rowOff>
    </xdr:from>
    <xdr:to>
      <xdr:col>2</xdr:col>
      <xdr:colOff>420915</xdr:colOff>
      <xdr:row>24</xdr:row>
      <xdr:rowOff>123371</xdr:rowOff>
    </xdr:to>
    <xdr:sp macro="" textlink="">
      <xdr:nvSpPr>
        <xdr:cNvPr id="29" name="Rectangle 28">
          <a:extLst>
            <a:ext uri="{FF2B5EF4-FFF2-40B4-BE49-F238E27FC236}">
              <a16:creationId xmlns:a16="http://schemas.microsoft.com/office/drawing/2014/main" id="{4AE82FF5-6AC7-71A4-8284-33155E72FE8B}"/>
            </a:ext>
          </a:extLst>
        </xdr:cNvPr>
        <xdr:cNvSpPr/>
      </xdr:nvSpPr>
      <xdr:spPr>
        <a:xfrm>
          <a:off x="224971" y="4405085"/>
          <a:ext cx="1023258" cy="268515"/>
        </a:xfrm>
        <a:prstGeom prst="rect">
          <a:avLst/>
        </a:prstGeom>
        <a:solidFill>
          <a:srgbClr val="244062"/>
        </a:solidFill>
        <a:ln w="12700">
          <a:solidFill>
            <a:srgbClr val="24406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PREAPRED</a:t>
          </a:r>
          <a:r>
            <a:rPr lang="en-IN" sz="1100" b="1" baseline="0"/>
            <a:t> BY:</a:t>
          </a:r>
          <a:endParaRPr lang="en-IN" sz="1100" b="1"/>
        </a:p>
      </xdr:txBody>
    </xdr:sp>
    <xdr:clientData/>
  </xdr:twoCellAnchor>
  <xdr:twoCellAnchor>
    <xdr:from>
      <xdr:col>2</xdr:col>
      <xdr:colOff>399142</xdr:colOff>
      <xdr:row>23</xdr:row>
      <xdr:rowOff>36287</xdr:rowOff>
    </xdr:from>
    <xdr:to>
      <xdr:col>4</xdr:col>
      <xdr:colOff>326572</xdr:colOff>
      <xdr:row>24</xdr:row>
      <xdr:rowOff>123373</xdr:rowOff>
    </xdr:to>
    <xdr:sp macro="" textlink="">
      <xdr:nvSpPr>
        <xdr:cNvPr id="30" name="Rectangle 29">
          <a:extLst>
            <a:ext uri="{FF2B5EF4-FFF2-40B4-BE49-F238E27FC236}">
              <a16:creationId xmlns:a16="http://schemas.microsoft.com/office/drawing/2014/main" id="{F2771BDB-BF1B-43D7-86C5-4C14AB74A335}"/>
            </a:ext>
          </a:extLst>
        </xdr:cNvPr>
        <xdr:cNvSpPr/>
      </xdr:nvSpPr>
      <xdr:spPr>
        <a:xfrm>
          <a:off x="1226456" y="4405087"/>
          <a:ext cx="1146630" cy="268515"/>
        </a:xfrm>
        <a:prstGeom prst="rect">
          <a:avLst/>
        </a:prstGeom>
        <a:solidFill>
          <a:schemeClr val="bg1"/>
        </a:solidFill>
        <a:ln w="1270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ANVAY GUALVE</a:t>
          </a:r>
        </a:p>
      </xdr:txBody>
    </xdr:sp>
    <xdr:clientData/>
  </xdr:twoCellAnchor>
  <xdr:twoCellAnchor>
    <xdr:from>
      <xdr:col>11</xdr:col>
      <xdr:colOff>7257</xdr:colOff>
      <xdr:row>22</xdr:row>
      <xdr:rowOff>181428</xdr:rowOff>
    </xdr:from>
    <xdr:to>
      <xdr:col>12</xdr:col>
      <xdr:colOff>420915</xdr:colOff>
      <xdr:row>24</xdr:row>
      <xdr:rowOff>87085</xdr:rowOff>
    </xdr:to>
    <xdr:sp macro="" textlink="">
      <xdr:nvSpPr>
        <xdr:cNvPr id="31" name="Rectangle 30">
          <a:extLst>
            <a:ext uri="{FF2B5EF4-FFF2-40B4-BE49-F238E27FC236}">
              <a16:creationId xmlns:a16="http://schemas.microsoft.com/office/drawing/2014/main" id="{69985158-7D08-4F39-9158-D51B8F97B871}"/>
            </a:ext>
          </a:extLst>
        </xdr:cNvPr>
        <xdr:cNvSpPr/>
      </xdr:nvSpPr>
      <xdr:spPr>
        <a:xfrm>
          <a:off x="6480628" y="4368799"/>
          <a:ext cx="1023258" cy="268515"/>
        </a:xfrm>
        <a:prstGeom prst="rect">
          <a:avLst/>
        </a:prstGeom>
        <a:solidFill>
          <a:srgbClr val="244062"/>
        </a:solidFill>
        <a:ln w="12700">
          <a:solidFill>
            <a:srgbClr val="24406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DATE</a:t>
          </a:r>
        </a:p>
      </xdr:txBody>
    </xdr:sp>
    <xdr:clientData/>
  </xdr:twoCellAnchor>
  <xdr:twoCellAnchor>
    <xdr:from>
      <xdr:col>12</xdr:col>
      <xdr:colOff>399142</xdr:colOff>
      <xdr:row>23</xdr:row>
      <xdr:rowOff>1</xdr:rowOff>
    </xdr:from>
    <xdr:to>
      <xdr:col>14</xdr:col>
      <xdr:colOff>326572</xdr:colOff>
      <xdr:row>24</xdr:row>
      <xdr:rowOff>87087</xdr:rowOff>
    </xdr:to>
    <xdr:sp macro="" textlink="">
      <xdr:nvSpPr>
        <xdr:cNvPr id="32" name="Rectangle 31">
          <a:extLst>
            <a:ext uri="{FF2B5EF4-FFF2-40B4-BE49-F238E27FC236}">
              <a16:creationId xmlns:a16="http://schemas.microsoft.com/office/drawing/2014/main" id="{6541D6E8-6E65-42EE-A796-06867C69ED36}"/>
            </a:ext>
          </a:extLst>
        </xdr:cNvPr>
        <xdr:cNvSpPr/>
      </xdr:nvSpPr>
      <xdr:spPr>
        <a:xfrm>
          <a:off x="7482113" y="4368801"/>
          <a:ext cx="1146630" cy="268515"/>
        </a:xfrm>
        <a:prstGeom prst="rect">
          <a:avLst/>
        </a:prstGeom>
        <a:solidFill>
          <a:schemeClr val="bg1"/>
        </a:solidFill>
        <a:ln w="1270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26 JUNE 2026</a:t>
          </a:r>
        </a:p>
        <a:p>
          <a:pPr algn="ctr"/>
          <a:endParaRPr lang="en-IN"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9</xdr:row>
      <xdr:rowOff>49299</xdr:rowOff>
    </xdr:from>
    <xdr:to>
      <xdr:col>7</xdr:col>
      <xdr:colOff>114300</xdr:colOff>
      <xdr:row>27</xdr:row>
      <xdr:rowOff>161637</xdr:rowOff>
    </xdr:to>
    <xdr:graphicFrame macro="">
      <xdr:nvGraphicFramePr>
        <xdr:cNvPr id="2" name="Chart 1">
          <a:extLst>
            <a:ext uri="{FF2B5EF4-FFF2-40B4-BE49-F238E27FC236}">
              <a16:creationId xmlns:a16="http://schemas.microsoft.com/office/drawing/2014/main" id="{679BF3D8-0C23-4584-EDF5-9115F2634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B0AC-E445-4E09-9555-B8F770A34694}">
  <sheetPr codeName="Sheet1">
    <pageSetUpPr fitToPage="1"/>
  </sheetPr>
  <dimension ref="A1:U25"/>
  <sheetViews>
    <sheetView showGridLines="0" tabSelected="1" zoomScale="105" zoomScaleNormal="105" workbookViewId="0">
      <selection activeCell="T21" sqref="T21:U21"/>
    </sheetView>
  </sheetViews>
  <sheetFormatPr defaultRowHeight="14.4" x14ac:dyDescent="0.3"/>
  <cols>
    <col min="1" max="1" width="3.21875" style="1" customWidth="1"/>
    <col min="2" max="2" width="8.88671875" style="1"/>
    <col min="3" max="6" width="8.88671875" style="1" customWidth="1"/>
    <col min="7" max="9" width="8.88671875" style="1"/>
    <col min="10" max="10" width="11.21875" style="1" bestFit="1" customWidth="1"/>
    <col min="11" max="16384" width="8.88671875" style="1"/>
  </cols>
  <sheetData>
    <row r="1" spans="1:21" x14ac:dyDescent="0.3">
      <c r="A1" s="2"/>
      <c r="B1" s="2"/>
      <c r="C1" s="2"/>
      <c r="D1" s="2"/>
      <c r="E1" s="2"/>
      <c r="F1" s="2"/>
      <c r="G1" s="2"/>
      <c r="H1" s="2"/>
      <c r="I1" s="2"/>
      <c r="J1" s="2"/>
      <c r="K1" s="2"/>
      <c r="L1" s="2"/>
      <c r="M1" s="2"/>
      <c r="N1" s="2"/>
      <c r="O1" s="2"/>
      <c r="P1" s="2"/>
      <c r="Q1" s="2"/>
      <c r="R1" s="2"/>
      <c r="S1" s="2"/>
      <c r="T1" s="2"/>
      <c r="U1" s="2"/>
    </row>
    <row r="2" spans="1:21" x14ac:dyDescent="0.3">
      <c r="A2" s="2"/>
      <c r="B2" s="2"/>
      <c r="C2" s="2"/>
      <c r="D2" s="2"/>
      <c r="E2" s="2"/>
      <c r="F2" s="2"/>
      <c r="G2" s="2"/>
      <c r="H2" s="2"/>
      <c r="I2" s="2"/>
      <c r="J2" s="2"/>
      <c r="K2" s="2"/>
      <c r="L2" s="2"/>
      <c r="M2" s="2"/>
      <c r="N2" s="2"/>
      <c r="O2" s="2"/>
      <c r="P2" s="2"/>
      <c r="Q2" s="2"/>
      <c r="R2" s="2"/>
      <c r="S2" s="2"/>
      <c r="T2" s="2"/>
      <c r="U2" s="2"/>
    </row>
    <row r="3" spans="1:21" x14ac:dyDescent="0.3">
      <c r="A3" s="2"/>
      <c r="B3" s="2"/>
      <c r="C3" s="2"/>
      <c r="D3" s="2"/>
      <c r="E3" s="2"/>
      <c r="F3" s="2"/>
      <c r="G3" s="2"/>
      <c r="H3" s="2"/>
      <c r="I3" s="2"/>
      <c r="J3" s="2"/>
      <c r="K3" s="2"/>
      <c r="L3" s="2"/>
      <c r="M3" s="2"/>
      <c r="N3" s="2"/>
      <c r="O3" s="2"/>
      <c r="P3" s="2"/>
      <c r="Q3" s="2"/>
      <c r="R3" s="2"/>
      <c r="S3" s="2"/>
      <c r="T3" s="2"/>
      <c r="U3" s="2"/>
    </row>
    <row r="4" spans="1:21" x14ac:dyDescent="0.3">
      <c r="A4" s="2"/>
      <c r="B4" s="2"/>
      <c r="C4" s="2"/>
      <c r="D4" s="2"/>
      <c r="E4" s="2"/>
      <c r="F4" s="2"/>
      <c r="G4" s="2"/>
      <c r="H4" s="2"/>
      <c r="I4" s="2"/>
      <c r="J4" s="2"/>
      <c r="K4" s="2"/>
      <c r="L4" s="2"/>
      <c r="M4" s="2"/>
      <c r="N4" s="2"/>
      <c r="O4" s="2"/>
      <c r="P4" s="2"/>
      <c r="Q4" s="2"/>
      <c r="R4" s="2"/>
      <c r="S4" s="2"/>
      <c r="T4" s="2"/>
      <c r="U4" s="2"/>
    </row>
    <row r="5" spans="1:21" x14ac:dyDescent="0.3">
      <c r="A5" s="2"/>
      <c r="B5" s="2"/>
      <c r="C5" s="2"/>
      <c r="D5" s="2"/>
      <c r="E5" s="2"/>
      <c r="F5" s="2"/>
      <c r="G5" s="2"/>
      <c r="H5" s="2"/>
      <c r="I5" s="2"/>
      <c r="J5" s="2"/>
      <c r="K5" s="2"/>
      <c r="L5" s="2"/>
      <c r="M5" s="2"/>
      <c r="N5" s="2"/>
      <c r="O5" s="2"/>
      <c r="P5" s="2"/>
      <c r="Q5" s="2"/>
      <c r="R5" s="2"/>
      <c r="S5" s="2"/>
      <c r="T5" s="2"/>
      <c r="U5" s="2"/>
    </row>
    <row r="6" spans="1:21" x14ac:dyDescent="0.3">
      <c r="A6" s="2"/>
      <c r="B6" s="2"/>
      <c r="C6" s="2"/>
      <c r="D6" s="2"/>
      <c r="E6" s="2"/>
      <c r="F6" s="2"/>
      <c r="G6" s="2"/>
      <c r="H6" s="2"/>
      <c r="I6" s="2"/>
      <c r="J6" s="2"/>
      <c r="K6" s="2"/>
      <c r="L6" s="2"/>
      <c r="M6" s="2"/>
      <c r="N6" s="2"/>
      <c r="O6" s="2"/>
      <c r="P6" s="2"/>
      <c r="Q6" s="2"/>
      <c r="R6" s="2"/>
      <c r="S6" s="2"/>
      <c r="T6" s="2"/>
      <c r="U6" s="2"/>
    </row>
    <row r="7" spans="1:21" x14ac:dyDescent="0.3">
      <c r="A7" s="2"/>
      <c r="B7" s="2"/>
      <c r="C7" s="2"/>
      <c r="D7" s="2"/>
      <c r="E7" s="2"/>
      <c r="F7" s="2"/>
      <c r="G7" s="2"/>
      <c r="H7" s="2"/>
      <c r="I7" s="2"/>
      <c r="J7" s="2"/>
      <c r="K7" s="2"/>
      <c r="L7" s="2"/>
      <c r="M7" s="2"/>
      <c r="N7" s="2"/>
      <c r="O7" s="2"/>
      <c r="P7" s="2"/>
      <c r="Q7" s="2"/>
      <c r="R7" s="2"/>
      <c r="S7" s="2"/>
      <c r="T7" s="2"/>
      <c r="U7" s="2"/>
    </row>
    <row r="8" spans="1:21" x14ac:dyDescent="0.3">
      <c r="A8" s="2"/>
      <c r="B8" s="2"/>
      <c r="C8" s="2"/>
      <c r="D8" s="2"/>
      <c r="E8" s="2"/>
      <c r="F8" s="2"/>
      <c r="G8" s="2"/>
      <c r="H8" s="2"/>
      <c r="I8" s="2"/>
      <c r="J8" s="2"/>
      <c r="K8" s="2"/>
      <c r="L8" s="2"/>
      <c r="M8" s="2"/>
      <c r="N8" s="2"/>
      <c r="O8" s="2"/>
      <c r="P8" s="2"/>
      <c r="Q8" s="2"/>
      <c r="R8" s="2"/>
      <c r="S8" s="2"/>
      <c r="T8" s="2"/>
      <c r="U8" s="2"/>
    </row>
    <row r="9" spans="1:21" x14ac:dyDescent="0.3">
      <c r="A9" s="2"/>
      <c r="B9" s="2"/>
      <c r="C9" s="2"/>
      <c r="D9" s="2"/>
      <c r="E9" s="2"/>
      <c r="F9" s="2"/>
      <c r="G9" s="2"/>
      <c r="H9" s="2"/>
      <c r="I9" s="2"/>
      <c r="J9" s="2"/>
      <c r="K9" s="2"/>
      <c r="L9" s="2"/>
      <c r="M9" s="2"/>
      <c r="N9" s="2"/>
      <c r="O9" s="2"/>
      <c r="P9" s="2"/>
      <c r="Q9" s="2"/>
      <c r="R9" s="2"/>
      <c r="S9" s="2"/>
      <c r="T9" s="2"/>
      <c r="U9" s="2"/>
    </row>
    <row r="10" spans="1:21" ht="24" thickBot="1" x14ac:dyDescent="0.5">
      <c r="A10" s="2"/>
      <c r="B10" s="3" t="s">
        <v>176</v>
      </c>
      <c r="C10" s="2"/>
      <c r="D10" s="2"/>
      <c r="E10" s="2"/>
      <c r="F10" s="2"/>
      <c r="G10" s="2"/>
      <c r="H10" s="2"/>
      <c r="I10" s="2"/>
      <c r="J10" s="2"/>
      <c r="K10" s="2"/>
      <c r="L10" s="2"/>
      <c r="M10" s="2"/>
      <c r="N10" s="2"/>
      <c r="O10" s="2"/>
      <c r="P10" s="2"/>
      <c r="Q10" s="2"/>
      <c r="R10" s="2"/>
      <c r="S10" s="2"/>
      <c r="T10" s="2"/>
      <c r="U10" s="2"/>
    </row>
    <row r="11" spans="1:21" x14ac:dyDescent="0.3">
      <c r="A11" s="2"/>
      <c r="B11" s="4"/>
      <c r="C11" s="4"/>
      <c r="D11" s="4"/>
      <c r="E11" s="4"/>
      <c r="F11" s="2"/>
      <c r="G11" s="2"/>
      <c r="H11" s="2"/>
      <c r="I11" s="2"/>
      <c r="J11" s="2"/>
      <c r="K11" s="2"/>
      <c r="L11" s="2"/>
      <c r="M11" s="2"/>
      <c r="N11" s="2"/>
      <c r="O11" s="2"/>
      <c r="P11" s="2"/>
      <c r="Q11" s="2"/>
      <c r="R11" s="2"/>
      <c r="S11" s="2"/>
      <c r="T11" s="2"/>
      <c r="U11" s="2"/>
    </row>
    <row r="12" spans="1:21" ht="17.399999999999999" x14ac:dyDescent="0.35">
      <c r="A12" s="2"/>
      <c r="B12" s="5" t="s">
        <v>177</v>
      </c>
      <c r="C12" s="2"/>
      <c r="D12" s="6"/>
      <c r="E12" s="2"/>
      <c r="F12" s="2"/>
      <c r="G12" s="2"/>
      <c r="H12" s="2"/>
      <c r="I12" s="2"/>
      <c r="J12" s="2"/>
      <c r="K12" s="2"/>
      <c r="L12" s="2"/>
      <c r="M12" s="2"/>
      <c r="N12" s="2"/>
      <c r="O12" s="2"/>
      <c r="P12" s="2"/>
      <c r="Q12" s="2"/>
      <c r="R12" s="2"/>
      <c r="S12" s="2"/>
      <c r="T12" s="2"/>
      <c r="U12" s="2"/>
    </row>
    <row r="13" spans="1:21" ht="17.399999999999999" x14ac:dyDescent="0.35">
      <c r="A13" s="2"/>
      <c r="B13" s="5" t="s">
        <v>178</v>
      </c>
      <c r="C13" s="2"/>
      <c r="D13" s="2"/>
      <c r="E13" s="2"/>
      <c r="F13" s="2"/>
      <c r="G13" s="2"/>
      <c r="H13" s="2"/>
      <c r="I13" s="2"/>
      <c r="J13" s="2"/>
      <c r="K13" s="2"/>
      <c r="L13" s="2"/>
      <c r="M13" s="2"/>
      <c r="N13" s="2"/>
      <c r="O13" s="2"/>
      <c r="P13" s="2"/>
      <c r="Q13" s="2"/>
      <c r="R13" s="2"/>
      <c r="S13" s="2"/>
      <c r="T13" s="2"/>
      <c r="U13" s="2"/>
    </row>
    <row r="14" spans="1:21" x14ac:dyDescent="0.3">
      <c r="A14" s="2"/>
      <c r="B14" s="2"/>
      <c r="C14" s="2"/>
      <c r="D14" s="2"/>
      <c r="E14" s="2"/>
      <c r="F14" s="2"/>
      <c r="G14" s="2"/>
      <c r="H14" s="2"/>
      <c r="I14" s="2"/>
      <c r="J14" s="2"/>
      <c r="K14" s="2"/>
      <c r="L14" s="2"/>
      <c r="M14" s="2"/>
      <c r="N14" s="2"/>
      <c r="O14" s="2"/>
      <c r="P14" s="2"/>
      <c r="Q14" s="2"/>
      <c r="R14" s="2"/>
      <c r="S14" s="2"/>
      <c r="T14" s="2"/>
      <c r="U14" s="2"/>
    </row>
    <row r="15" spans="1:21" ht="14.4" customHeight="1" x14ac:dyDescent="0.3">
      <c r="A15" s="2"/>
      <c r="B15" s="320" t="s">
        <v>179</v>
      </c>
      <c r="C15" s="320"/>
      <c r="D15" s="320"/>
      <c r="E15" s="320"/>
      <c r="F15" s="320"/>
      <c r="G15" s="320"/>
      <c r="H15" s="320"/>
      <c r="I15" s="320"/>
      <c r="J15" s="320"/>
      <c r="K15" s="320"/>
      <c r="L15" s="320"/>
      <c r="M15" s="320"/>
      <c r="N15" s="320"/>
      <c r="O15" s="320"/>
      <c r="P15" s="320"/>
      <c r="Q15" s="320"/>
      <c r="R15" s="320"/>
      <c r="S15" s="320"/>
      <c r="T15" s="320"/>
      <c r="U15" s="320"/>
    </row>
    <row r="16" spans="1:21" ht="6" customHeight="1" x14ac:dyDescent="0.3">
      <c r="A16" s="2"/>
      <c r="B16" s="320"/>
      <c r="C16" s="320"/>
      <c r="D16" s="320"/>
      <c r="E16" s="320"/>
      <c r="F16" s="320"/>
      <c r="G16" s="320"/>
      <c r="H16" s="320"/>
      <c r="I16" s="320"/>
      <c r="J16" s="320"/>
      <c r="K16" s="320"/>
      <c r="L16" s="320"/>
      <c r="M16" s="320"/>
      <c r="N16" s="320"/>
      <c r="O16" s="320"/>
      <c r="P16" s="320"/>
      <c r="Q16" s="320"/>
      <c r="R16" s="320"/>
      <c r="S16" s="320"/>
      <c r="T16" s="320"/>
      <c r="U16" s="320"/>
    </row>
    <row r="17" spans="1:21" x14ac:dyDescent="0.3">
      <c r="A17" s="2"/>
      <c r="B17" s="2"/>
      <c r="C17" s="2"/>
      <c r="D17" s="2"/>
      <c r="E17" s="2"/>
      <c r="F17" s="2"/>
      <c r="G17" s="2"/>
      <c r="H17" s="2"/>
      <c r="I17" s="2"/>
      <c r="J17" s="2"/>
      <c r="K17" s="2"/>
      <c r="L17" s="2"/>
      <c r="M17" s="2"/>
      <c r="N17" s="2"/>
      <c r="O17" s="2"/>
      <c r="P17" s="2"/>
      <c r="Q17" s="2"/>
      <c r="R17" s="2"/>
      <c r="S17" s="2"/>
      <c r="T17" s="2"/>
      <c r="U17" s="2"/>
    </row>
    <row r="18" spans="1:21" x14ac:dyDescent="0.3">
      <c r="A18" s="2"/>
      <c r="B18" s="2"/>
      <c r="C18" s="2"/>
      <c r="D18" s="2"/>
      <c r="E18" s="2"/>
      <c r="F18" s="2"/>
      <c r="G18" s="2"/>
      <c r="H18" s="2"/>
      <c r="I18" s="2"/>
      <c r="J18" s="2"/>
      <c r="K18" s="2"/>
      <c r="L18" s="2"/>
      <c r="M18" s="2"/>
      <c r="N18" s="2"/>
      <c r="O18" s="2"/>
      <c r="P18" s="2"/>
      <c r="Q18" s="2"/>
      <c r="R18" s="2"/>
      <c r="S18" s="2"/>
      <c r="T18" s="2"/>
      <c r="U18" s="2"/>
    </row>
    <row r="19" spans="1:21" x14ac:dyDescent="0.3">
      <c r="A19" s="2"/>
      <c r="B19" s="2"/>
      <c r="C19" s="2"/>
      <c r="D19" s="2"/>
      <c r="E19" s="2"/>
      <c r="F19" s="2"/>
      <c r="G19" s="2"/>
      <c r="H19" s="2"/>
      <c r="I19" s="2"/>
      <c r="J19" s="2"/>
      <c r="K19" s="2"/>
      <c r="L19" s="2"/>
      <c r="M19" s="2"/>
      <c r="N19" s="2"/>
      <c r="O19" s="2"/>
      <c r="P19" s="2"/>
      <c r="Q19" s="2"/>
      <c r="R19" s="2"/>
      <c r="S19" s="2"/>
      <c r="T19" s="2"/>
      <c r="U19" s="2"/>
    </row>
    <row r="20" spans="1:21" ht="4.2" customHeight="1" x14ac:dyDescent="0.3">
      <c r="A20" s="2"/>
      <c r="B20" s="2"/>
      <c r="C20" s="2"/>
      <c r="D20" s="2"/>
      <c r="E20" s="2"/>
      <c r="F20" s="2"/>
      <c r="G20" s="2"/>
      <c r="H20" s="2"/>
      <c r="I20" s="2"/>
      <c r="J20" s="2"/>
      <c r="K20" s="2"/>
      <c r="L20" s="2"/>
      <c r="M20" s="2"/>
      <c r="N20" s="2"/>
      <c r="O20" s="2"/>
      <c r="P20" s="2"/>
      <c r="Q20" s="2"/>
      <c r="R20" s="2"/>
      <c r="S20" s="2"/>
      <c r="T20" s="2"/>
      <c r="U20" s="2"/>
    </row>
    <row r="21" spans="1:21" ht="15" thickBot="1" x14ac:dyDescent="0.35">
      <c r="A21" s="2"/>
      <c r="B21" s="321">
        <v>1</v>
      </c>
      <c r="C21" s="321"/>
      <c r="D21" s="2"/>
      <c r="E21" s="321">
        <v>2</v>
      </c>
      <c r="F21" s="321"/>
      <c r="G21" s="2"/>
      <c r="H21" s="321">
        <v>3</v>
      </c>
      <c r="I21" s="321"/>
      <c r="J21" s="2"/>
      <c r="K21" s="321">
        <v>4</v>
      </c>
      <c r="L21" s="321"/>
      <c r="M21" s="2"/>
      <c r="N21" s="321">
        <v>5</v>
      </c>
      <c r="O21" s="321"/>
      <c r="P21" s="2"/>
      <c r="Q21" s="321">
        <v>6</v>
      </c>
      <c r="R21" s="321"/>
      <c r="S21" s="2"/>
      <c r="T21" s="321">
        <v>7</v>
      </c>
      <c r="U21" s="321"/>
    </row>
    <row r="22" spans="1:21" ht="31.8" customHeight="1" thickBot="1" x14ac:dyDescent="0.35">
      <c r="A22" s="2"/>
      <c r="B22" s="323" t="s">
        <v>180</v>
      </c>
      <c r="C22" s="323"/>
      <c r="D22" s="7"/>
      <c r="E22" s="322" t="s">
        <v>184</v>
      </c>
      <c r="F22" s="322"/>
      <c r="G22" s="7"/>
      <c r="H22" s="322" t="s">
        <v>183</v>
      </c>
      <c r="I22" s="322"/>
      <c r="J22" s="7"/>
      <c r="K22" s="322" t="s">
        <v>182</v>
      </c>
      <c r="L22" s="322"/>
      <c r="M22" s="7"/>
      <c r="N22" s="322" t="s">
        <v>181</v>
      </c>
      <c r="O22" s="322"/>
      <c r="P22" s="7"/>
      <c r="Q22" s="322" t="s">
        <v>186</v>
      </c>
      <c r="R22" s="322"/>
      <c r="S22" s="7"/>
      <c r="T22" s="322" t="s">
        <v>185</v>
      </c>
      <c r="U22" s="322"/>
    </row>
    <row r="23" spans="1:21" x14ac:dyDescent="0.3">
      <c r="A23" s="2"/>
      <c r="B23" s="2"/>
      <c r="C23" s="2"/>
      <c r="D23" s="2"/>
      <c r="E23" s="2"/>
      <c r="F23" s="2"/>
      <c r="G23" s="2"/>
      <c r="H23" s="2"/>
      <c r="I23" s="2"/>
      <c r="J23" s="2"/>
      <c r="K23" s="2"/>
      <c r="L23" s="2"/>
      <c r="M23" s="2"/>
      <c r="N23" s="2"/>
      <c r="O23" s="2"/>
      <c r="P23" s="2"/>
      <c r="Q23" s="2"/>
      <c r="R23" s="2"/>
      <c r="S23" s="2"/>
      <c r="T23" s="2"/>
      <c r="U23" s="2"/>
    </row>
    <row r="24" spans="1:21" x14ac:dyDescent="0.3">
      <c r="A24" s="2"/>
      <c r="B24" s="2"/>
      <c r="C24" s="2"/>
      <c r="D24" s="2"/>
      <c r="E24" s="2"/>
      <c r="F24" s="2"/>
      <c r="G24" s="2"/>
      <c r="H24" s="2"/>
      <c r="I24" s="2"/>
      <c r="J24" s="2"/>
      <c r="K24" s="2"/>
      <c r="L24" s="2"/>
      <c r="M24" s="2"/>
      <c r="N24" s="2"/>
      <c r="O24" s="2"/>
      <c r="P24" s="2"/>
      <c r="Q24" s="2"/>
      <c r="R24" s="2"/>
      <c r="S24" s="2"/>
      <c r="T24" s="2"/>
      <c r="U24" s="2"/>
    </row>
    <row r="25" spans="1:21" x14ac:dyDescent="0.3">
      <c r="A25" s="2"/>
      <c r="B25" s="2"/>
      <c r="C25" s="2"/>
      <c r="D25" s="2"/>
      <c r="E25" s="2"/>
      <c r="F25" s="2"/>
      <c r="G25" s="2"/>
      <c r="H25" s="2"/>
      <c r="I25" s="2"/>
      <c r="J25" s="2"/>
      <c r="K25" s="2"/>
      <c r="L25" s="2"/>
      <c r="M25" s="2"/>
      <c r="N25" s="2"/>
      <c r="O25" s="2"/>
      <c r="P25" s="2"/>
      <c r="Q25" s="2"/>
      <c r="R25" s="2"/>
      <c r="S25" s="2"/>
      <c r="T25" s="2"/>
      <c r="U25" s="2"/>
    </row>
  </sheetData>
  <sheetProtection algorithmName="SHA-512" hashValue="/RexVhuNUg5ZGrjwaLRz87pRQfZE06BQvAIkPPm9IssILvPdM653z+cobq5aDyoSmLWGLzrJ1TLH6byb/w5zlQ==" saltValue="IXrXgYy7riM6xtc6hIxC+Q==" spinCount="100000" sheet="1" objects="1" scenarios="1"/>
  <mergeCells count="15">
    <mergeCell ref="B15:U16"/>
    <mergeCell ref="N21:O21"/>
    <mergeCell ref="N22:O22"/>
    <mergeCell ref="Q21:R21"/>
    <mergeCell ref="Q22:R22"/>
    <mergeCell ref="T21:U21"/>
    <mergeCell ref="T22:U22"/>
    <mergeCell ref="B21:C21"/>
    <mergeCell ref="B22:C22"/>
    <mergeCell ref="E21:F21"/>
    <mergeCell ref="E22:F22"/>
    <mergeCell ref="H21:I21"/>
    <mergeCell ref="H22:I22"/>
    <mergeCell ref="K21:L21"/>
    <mergeCell ref="K22:L22"/>
  </mergeCells>
  <hyperlinks>
    <hyperlink ref="B22:C22" location="Assumptions!A1" display="ASSUMPTIONS" xr:uid="{DF73B189-4D18-4BB3-834F-F9C6A9DABF03}"/>
    <hyperlink ref="E22:F22" location="'Mgmt Tracker'!A1" display="'Mgmt Tracker'!A1" xr:uid="{F00C3505-16D7-4DA4-AFE8-8BD698544821}"/>
    <hyperlink ref="H22:I22" location="'Income Statement'!A1" display="'Income Statement'!A1" xr:uid="{4E82E8FC-A112-4CF0-99FD-C5E1E992E02A}"/>
    <hyperlink ref="K22:L22" location="WACC!A1" display="WACC!A1" xr:uid="{9715E635-6060-478A-8935-1EAB7FCECBB1}"/>
    <hyperlink ref="N22:O22" location="'DCF Valuation'!A1" display="'DCF Valuation'!A1" xr:uid="{D52CF9BE-4DB4-4A36-A836-E29482E5E115}"/>
    <hyperlink ref="Q22:R22" location="Sensitivity!A1" display="Sensitivity!A1" xr:uid="{06DC941B-54E8-4C1E-9FA0-4C59F1FF999B}"/>
    <hyperlink ref="T22:U22" location="'Football Field Summary'!A1" display="'Football Field Summary'!A1" xr:uid="{57389640-2E0B-4510-A942-29BFC20417DF}"/>
  </hyperlinks>
  <pageMargins left="0.75" right="0.7" top="2.2799999999999998" bottom="0.75" header="0.3" footer="0.3"/>
  <pageSetup scale="63" fitToHeight="0" orientation="landscape" r:id="rId1"/>
  <colBreaks count="1" manualBreakCount="1">
    <brk id="21"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W35"/>
  <sheetViews>
    <sheetView showGridLines="0" zoomScale="101" zoomScaleNormal="94" workbookViewId="0"/>
  </sheetViews>
  <sheetFormatPr defaultColWidth="8.6640625" defaultRowHeight="14.4" x14ac:dyDescent="0.3"/>
  <cols>
    <col min="1" max="1" width="2.33203125" style="8" customWidth="1"/>
    <col min="2" max="2" width="38" style="8" customWidth="1"/>
    <col min="3" max="3" width="18" style="8" customWidth="1"/>
    <col min="4" max="4" width="15.21875" style="8" bestFit="1" customWidth="1"/>
    <col min="5" max="5" width="12" style="8" customWidth="1"/>
    <col min="6" max="6" width="12.5546875" style="8" bestFit="1" customWidth="1"/>
    <col min="7" max="10" width="12" style="8" customWidth="1"/>
    <col min="11" max="16384" width="8.6640625" style="8"/>
  </cols>
  <sheetData>
    <row r="1" spans="1:23" ht="27" customHeight="1" x14ac:dyDescent="0.3">
      <c r="B1" s="326" t="s">
        <v>0</v>
      </c>
      <c r="C1" s="326"/>
      <c r="D1" s="326"/>
      <c r="E1" s="326"/>
      <c r="F1" s="326"/>
      <c r="G1" s="326"/>
      <c r="H1" s="326"/>
      <c r="I1" s="326"/>
      <c r="J1" s="326"/>
    </row>
    <row r="2" spans="1:23" s="11" customFormat="1" ht="15" customHeight="1" x14ac:dyDescent="0.3">
      <c r="A2" s="8"/>
      <c r="B2" s="9" t="s">
        <v>151</v>
      </c>
      <c r="C2" s="9" t="s">
        <v>1</v>
      </c>
      <c r="D2" s="10">
        <v>24</v>
      </c>
      <c r="E2" s="72">
        <f>D2+1</f>
        <v>25</v>
      </c>
      <c r="F2" s="72">
        <f t="shared" ref="F2" si="0">E2+1</f>
        <v>26</v>
      </c>
      <c r="G2" s="73">
        <f>F2+1</f>
        <v>27</v>
      </c>
      <c r="H2" s="74">
        <f>G2+1</f>
        <v>28</v>
      </c>
      <c r="I2" s="74">
        <f t="shared" ref="I2:J2" si="1">H2+1</f>
        <v>29</v>
      </c>
      <c r="J2" s="74">
        <f t="shared" si="1"/>
        <v>30</v>
      </c>
    </row>
    <row r="3" spans="1:23" ht="4.95" customHeight="1" x14ac:dyDescent="0.3"/>
    <row r="4" spans="1:23" ht="15" customHeight="1" x14ac:dyDescent="0.3">
      <c r="B4" s="12" t="s">
        <v>6</v>
      </c>
      <c r="C4" s="13"/>
      <c r="D4" s="13"/>
      <c r="E4" s="13"/>
      <c r="F4" s="13"/>
      <c r="G4" s="13"/>
      <c r="H4" s="13"/>
      <c r="I4" s="13"/>
      <c r="J4" s="13"/>
    </row>
    <row r="5" spans="1:23" s="18" customFormat="1" x14ac:dyDescent="0.3">
      <c r="A5" s="8"/>
      <c r="B5" s="14" t="s">
        <v>7</v>
      </c>
      <c r="C5" s="15"/>
      <c r="D5" s="16">
        <v>221113</v>
      </c>
      <c r="E5" s="16">
        <v>255734</v>
      </c>
      <c r="F5" s="17">
        <v>285874</v>
      </c>
      <c r="G5" s="75">
        <f>F5*(1+G6)</f>
        <v>317320.14</v>
      </c>
      <c r="H5" s="76">
        <f t="shared" ref="H5:J5" si="2">G5*(1+H6)</f>
        <v>358571.75819999998</v>
      </c>
      <c r="I5" s="76">
        <f t="shared" si="2"/>
        <v>408771.80434800003</v>
      </c>
      <c r="J5" s="77">
        <f t="shared" si="2"/>
        <v>468043.71597846004</v>
      </c>
      <c r="K5" s="8"/>
      <c r="L5" s="8"/>
      <c r="M5" s="8"/>
      <c r="N5" s="8"/>
    </row>
    <row r="6" spans="1:23" s="18" customFormat="1" x14ac:dyDescent="0.3">
      <c r="A6" s="8"/>
      <c r="B6" s="19" t="s">
        <v>8</v>
      </c>
      <c r="C6" s="20">
        <v>0.14899999999999999</v>
      </c>
      <c r="D6" s="20">
        <v>0.20599999999999999</v>
      </c>
      <c r="E6" s="78">
        <f>E5/D5-1</f>
        <v>0.15657604935033209</v>
      </c>
      <c r="F6" s="79">
        <f t="shared" ref="F6" si="3">F5/E5-1</f>
        <v>0.11785683561825966</v>
      </c>
      <c r="G6" s="21">
        <v>0.11</v>
      </c>
      <c r="H6" s="20">
        <v>0.13</v>
      </c>
      <c r="I6" s="20">
        <v>0.14000000000000001</v>
      </c>
      <c r="J6" s="22">
        <v>0.14499999999999999</v>
      </c>
      <c r="K6" s="8"/>
      <c r="L6" s="8"/>
      <c r="M6" s="8"/>
      <c r="N6" s="8"/>
    </row>
    <row r="7" spans="1:23" s="18" customFormat="1" x14ac:dyDescent="0.3">
      <c r="A7" s="8"/>
      <c r="B7" s="23" t="s">
        <v>9</v>
      </c>
      <c r="C7" s="24"/>
      <c r="D7" s="25">
        <v>175000</v>
      </c>
      <c r="E7" s="25">
        <v>199000</v>
      </c>
      <c r="F7" s="26">
        <v>219000</v>
      </c>
      <c r="G7" s="80">
        <f>F7*(1+G9)</f>
        <v>243090.00000000003</v>
      </c>
      <c r="H7" s="81">
        <f>G7*(1+H9)</f>
        <v>272260.80000000005</v>
      </c>
      <c r="I7" s="81">
        <f>H7*(1+I9)</f>
        <v>304932.09600000008</v>
      </c>
      <c r="J7" s="82">
        <f>I7*(1+J9)</f>
        <v>341523.9475200001</v>
      </c>
    </row>
    <row r="8" spans="1:23" s="18" customFormat="1" x14ac:dyDescent="0.3">
      <c r="A8" s="8"/>
      <c r="B8" s="19" t="s">
        <v>10</v>
      </c>
      <c r="C8" s="27"/>
      <c r="D8" s="28">
        <v>578000</v>
      </c>
      <c r="E8" s="28">
        <v>621000</v>
      </c>
      <c r="F8" s="29">
        <v>740000</v>
      </c>
      <c r="G8" s="30"/>
      <c r="H8" s="31"/>
      <c r="I8" s="31"/>
      <c r="J8" s="32"/>
    </row>
    <row r="9" spans="1:23" s="18" customFormat="1" x14ac:dyDescent="0.3">
      <c r="A9" s="8"/>
      <c r="B9" s="23" t="s">
        <v>11</v>
      </c>
      <c r="C9" s="33">
        <v>0.17</v>
      </c>
      <c r="D9" s="34"/>
      <c r="E9" s="83">
        <f>E8/D8-1</f>
        <v>7.4394463667819988E-2</v>
      </c>
      <c r="F9" s="84">
        <f t="shared" ref="F9" si="4">F8/E8-1</f>
        <v>0.19162640901771333</v>
      </c>
      <c r="G9" s="35">
        <v>0.11</v>
      </c>
      <c r="H9" s="33">
        <v>0.12</v>
      </c>
      <c r="I9" s="33">
        <v>0.12</v>
      </c>
      <c r="J9" s="36">
        <v>0.12</v>
      </c>
      <c r="L9" s="8"/>
      <c r="M9" s="8"/>
      <c r="N9" s="8"/>
      <c r="O9" s="8"/>
      <c r="P9" s="8"/>
      <c r="Q9" s="8"/>
      <c r="R9" s="8"/>
      <c r="S9" s="8"/>
      <c r="T9" s="8"/>
      <c r="U9" s="8"/>
      <c r="V9" s="8"/>
      <c r="W9" s="8"/>
    </row>
    <row r="10" spans="1:23" s="42" customFormat="1" x14ac:dyDescent="0.3">
      <c r="A10" s="8"/>
      <c r="B10" s="14" t="s">
        <v>132</v>
      </c>
      <c r="C10" s="37"/>
      <c r="D10" s="38">
        <v>0.13</v>
      </c>
      <c r="E10" s="38">
        <v>0.13</v>
      </c>
      <c r="F10" s="39">
        <v>0.12</v>
      </c>
      <c r="G10" s="40">
        <v>0.12</v>
      </c>
      <c r="H10" s="38">
        <v>0.125</v>
      </c>
      <c r="I10" s="38">
        <v>0.13</v>
      </c>
      <c r="J10" s="41">
        <v>0.13500000000000001</v>
      </c>
    </row>
    <row r="12" spans="1:23" s="18" customFormat="1" ht="13.8" customHeight="1" x14ac:dyDescent="0.3">
      <c r="A12" s="8"/>
      <c r="B12" s="13" t="s">
        <v>13</v>
      </c>
      <c r="C12" s="13"/>
      <c r="D12" s="13"/>
      <c r="E12" s="13"/>
      <c r="F12" s="13"/>
      <c r="G12" s="13"/>
      <c r="H12" s="13"/>
      <c r="I12" s="13"/>
      <c r="J12" s="13"/>
    </row>
    <row r="13" spans="1:23" s="18" customFormat="1" x14ac:dyDescent="0.3">
      <c r="A13" s="8"/>
      <c r="B13" s="43" t="s">
        <v>14</v>
      </c>
      <c r="C13" s="44">
        <v>0.33800000000000002</v>
      </c>
      <c r="D13" s="44">
        <v>0.34499999999999997</v>
      </c>
      <c r="E13" s="44">
        <v>0.36</v>
      </c>
      <c r="F13" s="45">
        <v>0.33500000000000002</v>
      </c>
      <c r="G13" s="46">
        <v>0.33500000000000002</v>
      </c>
      <c r="H13" s="44">
        <v>0.33</v>
      </c>
      <c r="I13" s="44">
        <v>0.32500000000000001</v>
      </c>
      <c r="J13" s="47">
        <v>0.32</v>
      </c>
    </row>
    <row r="14" spans="1:23" s="18" customFormat="1" x14ac:dyDescent="0.3">
      <c r="A14" s="8"/>
      <c r="B14" s="23" t="s">
        <v>15</v>
      </c>
      <c r="C14" s="48">
        <v>0.185</v>
      </c>
      <c r="D14" s="48">
        <v>0.186</v>
      </c>
      <c r="E14" s="48">
        <v>0.183</v>
      </c>
      <c r="F14" s="49">
        <v>0.183</v>
      </c>
      <c r="G14" s="50">
        <v>0.185</v>
      </c>
      <c r="H14" s="48">
        <v>0.185</v>
      </c>
      <c r="I14" s="48">
        <v>0.18</v>
      </c>
      <c r="J14" s="51">
        <v>0.17499999999999999</v>
      </c>
    </row>
    <row r="15" spans="1:23" s="52" customFormat="1" x14ac:dyDescent="0.3">
      <c r="A15" s="8"/>
      <c r="B15" s="43" t="s">
        <v>133</v>
      </c>
      <c r="C15" s="44">
        <v>4.8000000000000001E-2</v>
      </c>
      <c r="D15" s="44">
        <v>4.8300000000000003E-2</v>
      </c>
      <c r="E15" s="44">
        <v>3.9100000000000003E-2</v>
      </c>
      <c r="F15" s="45">
        <v>4.4499999999999998E-2</v>
      </c>
      <c r="G15" s="46">
        <v>4.4999999999999998E-2</v>
      </c>
      <c r="H15" s="44">
        <v>4.4225E-2</v>
      </c>
      <c r="I15" s="44">
        <v>4.3206250000000002E-2</v>
      </c>
      <c r="J15" s="47">
        <v>4.4232812499999996E-2</v>
      </c>
    </row>
    <row r="16" spans="1:23" s="18" customFormat="1" x14ac:dyDescent="0.3">
      <c r="A16" s="8"/>
      <c r="B16" s="23" t="s">
        <v>16</v>
      </c>
      <c r="C16" s="48">
        <v>1.6E-2</v>
      </c>
      <c r="D16" s="48">
        <v>1.7000000000000001E-2</v>
      </c>
      <c r="E16" s="48">
        <v>1.6E-2</v>
      </c>
      <c r="F16" s="49">
        <v>1.4999999999999999E-2</v>
      </c>
      <c r="G16" s="50">
        <v>1.6E-2</v>
      </c>
      <c r="H16" s="48">
        <v>1.7000000000000001E-2</v>
      </c>
      <c r="I16" s="48">
        <v>1.7000000000000001E-2</v>
      </c>
      <c r="J16" s="51">
        <v>1.7999999999999999E-2</v>
      </c>
    </row>
    <row r="17" spans="1:17" s="18" customFormat="1" x14ac:dyDescent="0.3">
      <c r="A17" s="8"/>
      <c r="B17" s="43" t="s">
        <v>17</v>
      </c>
      <c r="C17" s="44">
        <v>1.9E-2</v>
      </c>
      <c r="D17" s="44">
        <v>0.02</v>
      </c>
      <c r="E17" s="44">
        <v>1.7000000000000001E-2</v>
      </c>
      <c r="F17" s="45">
        <v>1.7000000000000001E-2</v>
      </c>
      <c r="G17" s="46">
        <v>2.5000000000000001E-2</v>
      </c>
      <c r="H17" s="44">
        <v>2.8000000000000001E-2</v>
      </c>
      <c r="I17" s="44">
        <v>2.8000000000000001E-2</v>
      </c>
      <c r="J17" s="47">
        <v>2.5000000000000001E-2</v>
      </c>
    </row>
    <row r="18" spans="1:17" s="18" customFormat="1" x14ac:dyDescent="0.3">
      <c r="A18" s="8"/>
      <c r="B18" s="23" t="s">
        <v>18</v>
      </c>
      <c r="C18" s="48">
        <v>0.25</v>
      </c>
      <c r="D18" s="48">
        <v>0.24</v>
      </c>
      <c r="E18" s="48">
        <v>0.25</v>
      </c>
      <c r="F18" s="49">
        <v>0.26</v>
      </c>
      <c r="G18" s="50">
        <v>0.255</v>
      </c>
      <c r="H18" s="48">
        <v>0.255</v>
      </c>
      <c r="I18" s="48">
        <v>0.255</v>
      </c>
      <c r="J18" s="51">
        <v>0.255</v>
      </c>
    </row>
    <row r="19" spans="1:17" s="18" customFormat="1" x14ac:dyDescent="0.3">
      <c r="A19" s="8"/>
      <c r="B19" s="43" t="s">
        <v>19</v>
      </c>
      <c r="C19" s="44">
        <v>-0.01</v>
      </c>
      <c r="D19" s="44">
        <v>-4.3999999999999997E-2</v>
      </c>
      <c r="E19" s="44">
        <v>-0.13</v>
      </c>
      <c r="F19" s="45">
        <v>-9.4E-2</v>
      </c>
      <c r="G19" s="46">
        <v>0.1</v>
      </c>
      <c r="H19" s="44">
        <v>0.08</v>
      </c>
      <c r="I19" s="44">
        <v>7.0000000000000007E-2</v>
      </c>
      <c r="J19" s="47">
        <v>0.06</v>
      </c>
    </row>
    <row r="20" spans="1:17" s="18" customFormat="1" x14ac:dyDescent="0.3">
      <c r="A20" s="8"/>
      <c r="B20" s="53"/>
      <c r="C20" s="54"/>
      <c r="D20" s="54"/>
      <c r="E20" s="54"/>
      <c r="F20" s="54"/>
      <c r="G20" s="55"/>
      <c r="H20" s="55"/>
      <c r="I20" s="55"/>
      <c r="J20" s="55"/>
    </row>
    <row r="21" spans="1:17" s="18" customFormat="1" ht="13.8" customHeight="1" x14ac:dyDescent="0.3">
      <c r="A21" s="8"/>
      <c r="B21" s="324" t="s">
        <v>20</v>
      </c>
      <c r="C21" s="325"/>
      <c r="D21" s="8"/>
      <c r="E21" s="8"/>
      <c r="F21" s="8"/>
      <c r="G21" s="8"/>
      <c r="H21" s="8"/>
      <c r="I21" s="8"/>
      <c r="J21" s="8"/>
      <c r="K21" s="8"/>
    </row>
    <row r="22" spans="1:17" ht="4.95" customHeight="1" x14ac:dyDescent="0.3"/>
    <row r="23" spans="1:17" s="60" customFormat="1" ht="13.8" customHeight="1" x14ac:dyDescent="0.3">
      <c r="A23" s="56" t="s">
        <v>139</v>
      </c>
      <c r="B23" s="13" t="s">
        <v>152</v>
      </c>
      <c r="C23" s="57" t="s">
        <v>155</v>
      </c>
      <c r="D23" s="58"/>
      <c r="E23" s="59" t="s">
        <v>189</v>
      </c>
      <c r="F23" s="58"/>
      <c r="G23" s="58"/>
      <c r="H23" s="58"/>
      <c r="I23" s="58"/>
      <c r="J23" s="58"/>
      <c r="L23" s="8"/>
      <c r="M23" s="8"/>
      <c r="N23" s="8"/>
      <c r="O23" s="8"/>
      <c r="P23" s="8"/>
      <c r="Q23" s="8"/>
    </row>
    <row r="24" spans="1:17" s="18" customFormat="1" x14ac:dyDescent="0.3">
      <c r="A24" s="8"/>
      <c r="B24" s="61" t="s">
        <v>90</v>
      </c>
      <c r="C24" s="62">
        <v>5.5E-2</v>
      </c>
      <c r="D24" s="11"/>
      <c r="E24" s="63" t="s">
        <v>188</v>
      </c>
      <c r="F24" s="85">
        <f>F5*F19</f>
        <v>-26872.155999999999</v>
      </c>
      <c r="G24" s="85">
        <f>G5*G19</f>
        <v>31732.014000000003</v>
      </c>
      <c r="H24" s="85">
        <f>H5*H19</f>
        <v>28685.740655999998</v>
      </c>
      <c r="I24" s="85">
        <f>I5*I19</f>
        <v>28614.026304360006</v>
      </c>
      <c r="J24" s="85">
        <f>J5*J19</f>
        <v>28082.622958707601</v>
      </c>
      <c r="L24" s="8"/>
      <c r="M24" s="8"/>
      <c r="N24" s="8"/>
      <c r="O24" s="8"/>
      <c r="P24" s="8"/>
      <c r="Q24" s="8"/>
    </row>
    <row r="25" spans="1:17" s="18" customFormat="1" x14ac:dyDescent="0.3">
      <c r="A25" s="8"/>
      <c r="B25" s="64" t="s">
        <v>153</v>
      </c>
      <c r="C25" s="65">
        <v>0.105</v>
      </c>
      <c r="D25" s="11"/>
      <c r="E25" s="63" t="s">
        <v>187</v>
      </c>
      <c r="F25" s="63"/>
      <c r="G25" s="85">
        <f>G24-F24</f>
        <v>58604.17</v>
      </c>
      <c r="H25" s="85">
        <f t="shared" ref="H25:J25" si="5">H24-G24</f>
        <v>-3046.2733440000047</v>
      </c>
      <c r="I25" s="85">
        <f t="shared" si="5"/>
        <v>-71.714351639991946</v>
      </c>
      <c r="J25" s="85">
        <f t="shared" si="5"/>
        <v>-531.40334565240482</v>
      </c>
      <c r="L25" s="8"/>
      <c r="M25" s="8"/>
      <c r="N25" s="8"/>
      <c r="O25" s="8"/>
      <c r="P25" s="8"/>
      <c r="Q25" s="8"/>
    </row>
    <row r="26" spans="1:17" s="18" customFormat="1" x14ac:dyDescent="0.3">
      <c r="A26" s="8"/>
      <c r="B26" s="66" t="s">
        <v>154</v>
      </c>
      <c r="C26" s="67">
        <v>14</v>
      </c>
      <c r="D26" s="11"/>
      <c r="E26" s="11"/>
      <c r="F26" s="11"/>
      <c r="H26" s="11"/>
      <c r="I26" s="11"/>
      <c r="J26" s="11"/>
      <c r="L26" s="8"/>
      <c r="M26" s="8"/>
      <c r="N26" s="8"/>
      <c r="O26" s="8"/>
      <c r="P26" s="8"/>
      <c r="Q26" s="8"/>
    </row>
    <row r="27" spans="1:17" x14ac:dyDescent="0.3">
      <c r="C27" s="68"/>
      <c r="D27" s="69"/>
    </row>
    <row r="28" spans="1:17" x14ac:dyDescent="0.3">
      <c r="C28" s="70"/>
      <c r="D28" s="70"/>
    </row>
    <row r="30" spans="1:17" x14ac:dyDescent="0.3">
      <c r="C30" s="70"/>
      <c r="D30" s="70"/>
    </row>
    <row r="31" spans="1:17" x14ac:dyDescent="0.3">
      <c r="C31" s="70"/>
      <c r="D31" s="70"/>
    </row>
    <row r="32" spans="1:17" x14ac:dyDescent="0.3">
      <c r="C32" s="70"/>
      <c r="D32" s="70"/>
    </row>
    <row r="33" spans="3:10" x14ac:dyDescent="0.3">
      <c r="C33" s="71"/>
      <c r="D33" s="71"/>
      <c r="E33" s="71"/>
      <c r="F33" s="71"/>
    </row>
    <row r="34" spans="3:10" x14ac:dyDescent="0.3">
      <c r="F34" s="71"/>
    </row>
    <row r="35" spans="3:10" x14ac:dyDescent="0.3">
      <c r="G35" s="70"/>
      <c r="H35" s="70"/>
      <c r="I35" s="70"/>
      <c r="J35" s="70"/>
    </row>
  </sheetData>
  <sheetProtection algorithmName="SHA-512" hashValue="z8oB9kMrFxcDXJ3/ePuKDaM0EGG8PQcn1RwsKHIFLFfGuPTNwClp5qi3kvMhK2Ef4436KwWupQGLEWc1WO6+DQ==" saltValue="1zt0GAnjfHlO5jwYlcDhXg==" spinCount="100000" sheet="1" objects="1" scenarios="1"/>
  <mergeCells count="2">
    <mergeCell ref="B21:C21"/>
    <mergeCell ref="B1:J1"/>
  </mergeCells>
  <pageMargins left="0.75" right="0.75" top="1" bottom="1" header="0.511811023622047" footer="0.511811023622047"/>
  <pageSetup paperSize="9" scale="88" fitToHeight="0" orientation="landscape" r:id="rId1"/>
  <colBreaks count="1" manualBreakCount="1">
    <brk id="10"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J29"/>
  <sheetViews>
    <sheetView showGridLines="0" zoomScale="102" zoomScaleNormal="100" workbookViewId="0"/>
  </sheetViews>
  <sheetFormatPr defaultColWidth="8.6640625" defaultRowHeight="14.4" x14ac:dyDescent="0.3"/>
  <cols>
    <col min="1" max="1" width="2.33203125" style="86" customWidth="1"/>
    <col min="2" max="2" width="22.88671875" style="86" bestFit="1" customWidth="1"/>
    <col min="3" max="3" width="20" style="86" customWidth="1"/>
    <col min="4" max="6" width="18" style="86" customWidth="1"/>
    <col min="7" max="16384" width="8.6640625" style="86"/>
  </cols>
  <sheetData>
    <row r="1" spans="1:10" ht="24.6" customHeight="1" x14ac:dyDescent="0.3">
      <c r="B1" s="327" t="s">
        <v>156</v>
      </c>
      <c r="C1" s="328"/>
      <c r="D1" s="328"/>
      <c r="E1" s="328"/>
      <c r="F1" s="329"/>
    </row>
    <row r="2" spans="1:10" s="18" customFormat="1" x14ac:dyDescent="0.3">
      <c r="A2" s="86"/>
      <c r="B2" s="87" t="s">
        <v>21</v>
      </c>
      <c r="C2" s="88" t="s">
        <v>22</v>
      </c>
      <c r="D2" s="88" t="s">
        <v>23</v>
      </c>
      <c r="E2" s="88" t="s">
        <v>24</v>
      </c>
      <c r="F2" s="89" t="s">
        <v>25</v>
      </c>
    </row>
    <row r="3" spans="1:10" s="18" customFormat="1" x14ac:dyDescent="0.3">
      <c r="A3" s="86"/>
      <c r="B3" s="90" t="s">
        <v>26</v>
      </c>
      <c r="C3" s="91" t="s">
        <v>27</v>
      </c>
      <c r="D3" s="92">
        <v>0.15</v>
      </c>
      <c r="E3" s="110">
        <f>Assumptions!F6</f>
        <v>0.11785683561825966</v>
      </c>
      <c r="F3" s="93" t="s">
        <v>28</v>
      </c>
    </row>
    <row r="4" spans="1:10" s="18" customFormat="1" x14ac:dyDescent="0.3">
      <c r="A4" s="86"/>
      <c r="B4" s="94" t="s">
        <v>26</v>
      </c>
      <c r="C4" s="95" t="s">
        <v>29</v>
      </c>
      <c r="D4" s="96">
        <v>0.15</v>
      </c>
      <c r="E4" s="111">
        <f>Assumptions!E6</f>
        <v>0.15657604935033209</v>
      </c>
      <c r="F4" s="97" t="s">
        <v>30</v>
      </c>
    </row>
    <row r="5" spans="1:10" s="18" customFormat="1" x14ac:dyDescent="0.3">
      <c r="A5" s="86"/>
      <c r="B5" s="98" t="s">
        <v>26</v>
      </c>
      <c r="C5" s="99" t="s">
        <v>31</v>
      </c>
      <c r="D5" s="100">
        <v>0.15</v>
      </c>
      <c r="E5" s="112">
        <f>Assumptions!D6</f>
        <v>0.20599999999999999</v>
      </c>
      <c r="F5" s="101" t="s">
        <v>32</v>
      </c>
    </row>
    <row r="6" spans="1:10" s="18" customFormat="1" x14ac:dyDescent="0.3">
      <c r="A6" s="86"/>
      <c r="B6" s="94" t="s">
        <v>33</v>
      </c>
      <c r="C6" s="95" t="s">
        <v>27</v>
      </c>
      <c r="D6" s="96">
        <v>0.1</v>
      </c>
      <c r="E6" s="102" t="s">
        <v>34</v>
      </c>
      <c r="F6" s="101" t="s">
        <v>32</v>
      </c>
    </row>
    <row r="7" spans="1:10" s="18" customFormat="1" x14ac:dyDescent="0.3">
      <c r="A7" s="86"/>
      <c r="B7" s="98" t="s">
        <v>33</v>
      </c>
      <c r="C7" s="99" t="s">
        <v>29</v>
      </c>
      <c r="D7" s="103" t="s">
        <v>35</v>
      </c>
      <c r="E7" s="103" t="s">
        <v>36</v>
      </c>
      <c r="F7" s="101" t="s">
        <v>32</v>
      </c>
    </row>
    <row r="8" spans="1:10" s="18" customFormat="1" x14ac:dyDescent="0.3">
      <c r="A8" s="86"/>
      <c r="B8" s="94" t="s">
        <v>37</v>
      </c>
      <c r="C8" s="95" t="s">
        <v>27</v>
      </c>
      <c r="D8" s="102" t="s">
        <v>38</v>
      </c>
      <c r="E8" s="102" t="s">
        <v>39</v>
      </c>
      <c r="F8" s="104" t="s">
        <v>28</v>
      </c>
    </row>
    <row r="9" spans="1:10" s="18" customFormat="1" x14ac:dyDescent="0.3">
      <c r="A9" s="86"/>
      <c r="B9" s="98" t="s">
        <v>37</v>
      </c>
      <c r="C9" s="99" t="s">
        <v>29</v>
      </c>
      <c r="D9" s="105">
        <v>8.5000000000000006E-2</v>
      </c>
      <c r="E9" s="105">
        <v>8.3000000000000004E-2</v>
      </c>
      <c r="F9" s="97" t="s">
        <v>40</v>
      </c>
    </row>
    <row r="10" spans="1:10" s="18" customFormat="1" x14ac:dyDescent="0.3">
      <c r="A10" s="86"/>
      <c r="B10" s="94" t="s">
        <v>41</v>
      </c>
      <c r="C10" s="95" t="s">
        <v>27</v>
      </c>
      <c r="D10" s="102" t="s">
        <v>42</v>
      </c>
      <c r="E10" s="102" t="s">
        <v>43</v>
      </c>
      <c r="F10" s="104" t="s">
        <v>28</v>
      </c>
    </row>
    <row r="11" spans="1:10" s="18" customFormat="1" x14ac:dyDescent="0.3">
      <c r="A11" s="86"/>
      <c r="B11" s="98" t="s">
        <v>44</v>
      </c>
      <c r="C11" s="99" t="s">
        <v>27</v>
      </c>
      <c r="D11" s="103" t="s">
        <v>45</v>
      </c>
      <c r="E11" s="103" t="s">
        <v>46</v>
      </c>
      <c r="F11" s="101" t="s">
        <v>32</v>
      </c>
    </row>
    <row r="12" spans="1:10" s="18" customFormat="1" x14ac:dyDescent="0.3">
      <c r="A12" s="86"/>
      <c r="B12" s="94" t="s">
        <v>47</v>
      </c>
      <c r="C12" s="95" t="s">
        <v>48</v>
      </c>
      <c r="D12" s="102" t="s">
        <v>49</v>
      </c>
      <c r="E12" s="102" t="s">
        <v>12</v>
      </c>
      <c r="F12" s="106" t="s">
        <v>50</v>
      </c>
    </row>
    <row r="13" spans="1:10" s="18" customFormat="1" x14ac:dyDescent="0.3">
      <c r="A13" s="86"/>
      <c r="B13" s="98" t="s">
        <v>51</v>
      </c>
      <c r="C13" s="99" t="s">
        <v>48</v>
      </c>
      <c r="D13" s="103" t="s">
        <v>49</v>
      </c>
      <c r="E13" s="103" t="s">
        <v>12</v>
      </c>
      <c r="F13" s="106" t="s">
        <v>50</v>
      </c>
    </row>
    <row r="14" spans="1:10" s="18" customFormat="1" x14ac:dyDescent="0.3">
      <c r="A14" s="86"/>
      <c r="B14" s="94" t="s">
        <v>52</v>
      </c>
      <c r="C14" s="95" t="s">
        <v>53</v>
      </c>
      <c r="D14" s="102" t="s">
        <v>54</v>
      </c>
      <c r="E14" s="102" t="s">
        <v>12</v>
      </c>
      <c r="F14" s="106" t="s">
        <v>50</v>
      </c>
      <c r="J14" s="86"/>
    </row>
    <row r="17" spans="2:6" ht="15" thickBot="1" x14ac:dyDescent="0.35">
      <c r="B17" s="107" t="s">
        <v>131</v>
      </c>
      <c r="C17" s="108"/>
      <c r="D17" s="108"/>
      <c r="E17" s="108"/>
      <c r="F17" s="108"/>
    </row>
    <row r="18" spans="2:6" ht="6" customHeight="1" thickTop="1" x14ac:dyDescent="0.3"/>
    <row r="19" spans="2:6" x14ac:dyDescent="0.3">
      <c r="B19" s="330" t="s">
        <v>157</v>
      </c>
      <c r="C19" s="330"/>
      <c r="D19" s="330"/>
      <c r="E19" s="330"/>
      <c r="F19" s="330"/>
    </row>
    <row r="20" spans="2:6" x14ac:dyDescent="0.3">
      <c r="B20" s="330"/>
      <c r="C20" s="330"/>
      <c r="D20" s="330"/>
      <c r="E20" s="330"/>
      <c r="F20" s="330"/>
    </row>
    <row r="21" spans="2:6" x14ac:dyDescent="0.3">
      <c r="B21" s="330"/>
      <c r="C21" s="330"/>
      <c r="D21" s="330"/>
      <c r="E21" s="330"/>
      <c r="F21" s="330"/>
    </row>
    <row r="22" spans="2:6" x14ac:dyDescent="0.3">
      <c r="B22" s="330"/>
      <c r="C22" s="330"/>
      <c r="D22" s="330"/>
      <c r="E22" s="330"/>
      <c r="F22" s="330"/>
    </row>
    <row r="23" spans="2:6" x14ac:dyDescent="0.3">
      <c r="B23" s="330"/>
      <c r="C23" s="330"/>
      <c r="D23" s="330"/>
      <c r="E23" s="330"/>
      <c r="F23" s="330"/>
    </row>
    <row r="24" spans="2:6" x14ac:dyDescent="0.3">
      <c r="B24" s="330"/>
      <c r="C24" s="330"/>
      <c r="D24" s="330"/>
      <c r="E24" s="330"/>
      <c r="F24" s="330"/>
    </row>
    <row r="25" spans="2:6" x14ac:dyDescent="0.3">
      <c r="B25" s="330"/>
      <c r="C25" s="330"/>
      <c r="D25" s="330"/>
      <c r="E25" s="330"/>
      <c r="F25" s="330"/>
    </row>
    <row r="26" spans="2:6" x14ac:dyDescent="0.3">
      <c r="B26" s="330"/>
      <c r="C26" s="330"/>
      <c r="D26" s="330"/>
      <c r="E26" s="330"/>
      <c r="F26" s="330"/>
    </row>
    <row r="27" spans="2:6" x14ac:dyDescent="0.3">
      <c r="B27" s="330"/>
      <c r="C27" s="330"/>
      <c r="D27" s="330"/>
      <c r="E27" s="330"/>
      <c r="F27" s="330"/>
    </row>
    <row r="28" spans="2:6" x14ac:dyDescent="0.3">
      <c r="B28" s="109"/>
      <c r="C28" s="109"/>
      <c r="D28" s="109"/>
      <c r="E28" s="109"/>
      <c r="F28" s="109"/>
    </row>
    <row r="29" spans="2:6" x14ac:dyDescent="0.3">
      <c r="B29" s="109"/>
      <c r="C29" s="109"/>
      <c r="D29" s="109"/>
      <c r="E29" s="109"/>
      <c r="F29" s="109"/>
    </row>
  </sheetData>
  <sheetProtection algorithmName="SHA-512" hashValue="pZkgFOZophdMGWgOKmLpFffe2/rYXGkFaO21TKsIuMgnM2r25gp5jLA6fMwLWV69PJN1DpkFpFGD6D1YsoKUzw==" saltValue="VitCigr6pfc9+sgXLjHJTQ==" spinCount="100000" sheet="1" objects="1" scenarios="1"/>
  <mergeCells count="2">
    <mergeCell ref="B1:F1"/>
    <mergeCell ref="B19:F27"/>
  </mergeCells>
  <conditionalFormatting sqref="F3:F14">
    <cfRule type="cellIs" dxfId="7" priority="1" operator="equal">
      <formula>"PENDING"</formula>
    </cfRule>
    <cfRule type="cellIs" dxfId="6" priority="2" operator="equal">
      <formula>"NEAR MISS"</formula>
    </cfRule>
    <cfRule type="cellIs" dxfId="5" priority="3" operator="equal">
      <formula>"BEAT"</formula>
    </cfRule>
    <cfRule type="cellIs" dxfId="4" priority="4" operator="equal">
      <formula>"MEET"</formula>
    </cfRule>
    <cfRule type="cellIs" dxfId="3" priority="5" operator="equal">
      <formula>"MISS"</formula>
    </cfRule>
  </conditionalFormatting>
  <dataValidations count="1">
    <dataValidation type="list" allowBlank="1" showInputMessage="1" showErrorMessage="1" sqref="F12:F14" xr:uid="{E152965D-149C-4DB0-B79C-74ED0370BF07}">
      <formula1>"MISS,BEAT,NEAR MISS,PENDING"</formula1>
    </dataValidation>
  </dataValidations>
  <pageMargins left="1.89" right="0.75" top="1" bottom="1" header="0.511811023622047" footer="0.511811023622047"/>
  <pageSetup paperSize="9" fitToHeight="0" orientation="landscape" r:id="rId1"/>
  <ignoredErrors>
    <ignoredError sqref="D11:E11"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M45"/>
  <sheetViews>
    <sheetView showGridLines="0" zoomScale="114" zoomScaleNormal="114" workbookViewId="0"/>
  </sheetViews>
  <sheetFormatPr defaultColWidth="8.6640625" defaultRowHeight="14.4" x14ac:dyDescent="0.3"/>
  <cols>
    <col min="1" max="1" width="2.33203125" style="86" customWidth="1"/>
    <col min="2" max="2" width="35" style="86" customWidth="1"/>
    <col min="3" max="10" width="14" style="86" customWidth="1"/>
    <col min="11" max="16384" width="8.6640625" style="86"/>
  </cols>
  <sheetData>
    <row r="1" spans="2:13" ht="29.4" customHeight="1" x14ac:dyDescent="0.3">
      <c r="B1" s="331" t="s">
        <v>55</v>
      </c>
      <c r="C1" s="332"/>
      <c r="D1" s="332"/>
      <c r="E1" s="332"/>
      <c r="F1" s="332"/>
      <c r="G1" s="332"/>
      <c r="H1" s="332"/>
      <c r="I1" s="332"/>
      <c r="J1" s="333"/>
    </row>
    <row r="2" spans="2:13" s="18" customFormat="1" ht="15" customHeight="1" x14ac:dyDescent="0.3">
      <c r="B2" s="113" t="s">
        <v>158</v>
      </c>
      <c r="C2" s="10">
        <v>23</v>
      </c>
      <c r="D2" s="154">
        <f>C2+1</f>
        <v>24</v>
      </c>
      <c r="E2" s="154">
        <f t="shared" ref="E2:F2" si="0">D2+1</f>
        <v>25</v>
      </c>
      <c r="F2" s="154">
        <f t="shared" si="0"/>
        <v>26</v>
      </c>
      <c r="G2" s="73">
        <f>Assumptions!G2</f>
        <v>27</v>
      </c>
      <c r="H2" s="73">
        <f>Assumptions!H2</f>
        <v>28</v>
      </c>
      <c r="I2" s="73">
        <f>Assumptions!I2</f>
        <v>29</v>
      </c>
      <c r="J2" s="73">
        <f>Assumptions!J2</f>
        <v>30</v>
      </c>
    </row>
    <row r="3" spans="2:13" s="18" customFormat="1" ht="15.75" customHeight="1" x14ac:dyDescent="0.3">
      <c r="B3" s="114" t="s">
        <v>57</v>
      </c>
      <c r="C3" s="115">
        <v>183341</v>
      </c>
      <c r="D3" s="115">
        <v>221113</v>
      </c>
      <c r="E3" s="115">
        <v>255734</v>
      </c>
      <c r="F3" s="116">
        <v>285874</v>
      </c>
      <c r="G3" s="155">
        <f>F3*(1+G4)</f>
        <v>317320.14</v>
      </c>
      <c r="H3" s="156">
        <f t="shared" ref="H3:J3" si="1">G3*(1+H4)</f>
        <v>358571.75819999998</v>
      </c>
      <c r="I3" s="156">
        <f t="shared" si="1"/>
        <v>408771.80434800003</v>
      </c>
      <c r="J3" s="156">
        <f t="shared" si="1"/>
        <v>468043.71597846004</v>
      </c>
    </row>
    <row r="4" spans="2:13" s="18" customFormat="1" ht="15.75" customHeight="1" x14ac:dyDescent="0.3">
      <c r="B4" s="117" t="s">
        <v>58</v>
      </c>
      <c r="C4" s="118"/>
      <c r="D4" s="175">
        <f t="shared" ref="D4:F4" si="2">(D3-C3)/C3</f>
        <v>0.20602047550738786</v>
      </c>
      <c r="E4" s="175">
        <f t="shared" si="2"/>
        <v>0.15657604935033217</v>
      </c>
      <c r="F4" s="176">
        <f t="shared" si="2"/>
        <v>0.1178568356182596</v>
      </c>
      <c r="G4" s="157">
        <f>Assumptions!G6</f>
        <v>0.11</v>
      </c>
      <c r="H4" s="158">
        <f>Assumptions!H6</f>
        <v>0.13</v>
      </c>
      <c r="I4" s="158">
        <f>Assumptions!I6</f>
        <v>0.14000000000000001</v>
      </c>
      <c r="J4" s="158">
        <f>Assumptions!J6</f>
        <v>0.14499999999999999</v>
      </c>
    </row>
    <row r="5" spans="2:13" s="18" customFormat="1" ht="15.75" customHeight="1" x14ac:dyDescent="0.3">
      <c r="B5" s="119" t="s">
        <v>59</v>
      </c>
      <c r="C5" s="120">
        <v>60128</v>
      </c>
      <c r="D5" s="120">
        <v>76341</v>
      </c>
      <c r="E5" s="120">
        <v>92173</v>
      </c>
      <c r="F5" s="121">
        <v>97683</v>
      </c>
      <c r="G5" s="159">
        <f>G3*G6</f>
        <v>106302.24690000001</v>
      </c>
      <c r="H5" s="160">
        <f>H3*H6</f>
        <v>118328.680206</v>
      </c>
      <c r="I5" s="160">
        <f>I3*I6</f>
        <v>132850.83641310001</v>
      </c>
      <c r="J5" s="160">
        <f>J3*J6</f>
        <v>149773.98911310721</v>
      </c>
    </row>
    <row r="6" spans="2:13" s="18" customFormat="1" ht="15.75" customHeight="1" x14ac:dyDescent="0.3">
      <c r="B6" s="122" t="s">
        <v>60</v>
      </c>
      <c r="C6" s="177">
        <f>C5/C3</f>
        <v>0.32795719451732019</v>
      </c>
      <c r="D6" s="177">
        <f>D5/D3</f>
        <v>0.34525785458114178</v>
      </c>
      <c r="E6" s="177">
        <f>E5/E3</f>
        <v>0.36042528564836901</v>
      </c>
      <c r="F6" s="178">
        <f>F5/F3</f>
        <v>0.3416994899850983</v>
      </c>
      <c r="G6" s="161">
        <f>Assumptions!G13</f>
        <v>0.33500000000000002</v>
      </c>
      <c r="H6" s="162">
        <f>Assumptions!H13</f>
        <v>0.33</v>
      </c>
      <c r="I6" s="162">
        <f>Assumptions!I13</f>
        <v>0.32500000000000001</v>
      </c>
      <c r="J6" s="162">
        <f>Assumptions!J13</f>
        <v>0.32</v>
      </c>
    </row>
    <row r="7" spans="2:13" s="18" customFormat="1" ht="15.75" customHeight="1" x14ac:dyDescent="0.3">
      <c r="B7" s="123" t="s">
        <v>61</v>
      </c>
      <c r="C7" s="124">
        <v>37230</v>
      </c>
      <c r="D7" s="124">
        <v>41171</v>
      </c>
      <c r="E7" s="124">
        <v>46773</v>
      </c>
      <c r="F7" s="125">
        <v>52219</v>
      </c>
      <c r="G7" s="163">
        <f>G8*G3</f>
        <v>58704.225900000005</v>
      </c>
      <c r="H7" s="164">
        <f>H8*H3</f>
        <v>66335.77526699999</v>
      </c>
      <c r="I7" s="164">
        <f>I8*I3</f>
        <v>73578.92478264001</v>
      </c>
      <c r="J7" s="164">
        <f>J8*J3</f>
        <v>81907.650296230495</v>
      </c>
    </row>
    <row r="8" spans="2:13" s="18" customFormat="1" ht="13.8" x14ac:dyDescent="0.3">
      <c r="B8" s="126" t="s">
        <v>60</v>
      </c>
      <c r="C8" s="179">
        <f>C7/C3</f>
        <v>0.20306423549560654</v>
      </c>
      <c r="D8" s="179">
        <f>D7/D3</f>
        <v>0.18619891186859208</v>
      </c>
      <c r="E8" s="179">
        <f>E7/E3</f>
        <v>0.18289707273964353</v>
      </c>
      <c r="F8" s="180">
        <f>F7/F3</f>
        <v>0.18266439060565143</v>
      </c>
      <c r="G8" s="165">
        <f>Assumptions!G14</f>
        <v>0.185</v>
      </c>
      <c r="H8" s="166">
        <f>Assumptions!H14</f>
        <v>0.185</v>
      </c>
      <c r="I8" s="166">
        <f>Assumptions!I14</f>
        <v>0.18</v>
      </c>
      <c r="J8" s="166">
        <f>Assumptions!J14</f>
        <v>0.17499999999999999</v>
      </c>
    </row>
    <row r="9" spans="2:13" s="18" customFormat="1" ht="13.8" x14ac:dyDescent="0.3">
      <c r="B9" s="119" t="s">
        <v>62</v>
      </c>
      <c r="C9" s="120">
        <v>50293</v>
      </c>
      <c r="D9" s="120">
        <v>64182</v>
      </c>
      <c r="E9" s="120">
        <v>72337</v>
      </c>
      <c r="F9" s="121">
        <v>89828</v>
      </c>
      <c r="G9" s="159">
        <f>G3-G13-G5-G7-G11</f>
        <v>99955.844099999973</v>
      </c>
      <c r="H9" s="160">
        <f>H3-H13-H5-H7-H11</f>
        <v>113227.996945605</v>
      </c>
      <c r="I9" s="160">
        <f>I3-I13-I5-I7-I11</f>
        <v>131540.21181540922</v>
      </c>
      <c r="J9" s="160">
        <f>J3-J13-J5-J7-J11</f>
        <v>152473.28498135175</v>
      </c>
    </row>
    <row r="10" spans="2:13" s="18" customFormat="1" ht="15.75" customHeight="1" x14ac:dyDescent="0.3">
      <c r="B10" s="127" t="s">
        <v>60</v>
      </c>
      <c r="C10" s="181">
        <f t="shared" ref="C10:J10" si="3">C9/C3</f>
        <v>0.27431398323342843</v>
      </c>
      <c r="D10" s="181">
        <f t="shared" si="3"/>
        <v>0.2902678720835048</v>
      </c>
      <c r="E10" s="181">
        <f t="shared" si="3"/>
        <v>0.2828603157968827</v>
      </c>
      <c r="F10" s="182">
        <f t="shared" si="3"/>
        <v>0.31422234970651408</v>
      </c>
      <c r="G10" s="167">
        <f t="shared" si="3"/>
        <v>0.31499999999999989</v>
      </c>
      <c r="H10" s="168">
        <f t="shared" si="3"/>
        <v>0.31577500000000003</v>
      </c>
      <c r="I10" s="168">
        <f t="shared" si="3"/>
        <v>0.32179374999999993</v>
      </c>
      <c r="J10" s="168">
        <f t="shared" si="3"/>
        <v>0.32576718750000005</v>
      </c>
    </row>
    <row r="11" spans="2:13" s="18" customFormat="1" ht="15.75" customHeight="1" x14ac:dyDescent="0.3">
      <c r="B11" s="123" t="s">
        <v>63</v>
      </c>
      <c r="C11" s="124">
        <v>8525</v>
      </c>
      <c r="D11" s="124">
        <v>10688</v>
      </c>
      <c r="E11" s="124">
        <v>9993</v>
      </c>
      <c r="F11" s="125">
        <v>12715</v>
      </c>
      <c r="G11" s="163">
        <f>G12*G3</f>
        <v>14279.406300000001</v>
      </c>
      <c r="H11" s="164">
        <f>H12*H3</f>
        <v>15857.836006394999</v>
      </c>
      <c r="I11" s="164">
        <f>I12*I3</f>
        <v>17661.496771610779</v>
      </c>
      <c r="J11" s="164">
        <f>J12*J3</f>
        <v>20702.889930678473</v>
      </c>
    </row>
    <row r="12" spans="2:13" s="18" customFormat="1" ht="15.75" customHeight="1" thickBot="1" x14ac:dyDescent="0.35">
      <c r="B12" s="128" t="s">
        <v>60</v>
      </c>
      <c r="C12" s="183">
        <f>C11/C3</f>
        <v>4.6498055535859409E-2</v>
      </c>
      <c r="D12" s="183">
        <f>D11/D3</f>
        <v>4.8337275510711715E-2</v>
      </c>
      <c r="E12" s="183">
        <f>E11/E3</f>
        <v>3.9075758405217924E-2</v>
      </c>
      <c r="F12" s="184">
        <f>F11/F3</f>
        <v>4.447763700091649E-2</v>
      </c>
      <c r="G12" s="169">
        <f>Assumptions!G15</f>
        <v>4.4999999999999998E-2</v>
      </c>
      <c r="H12" s="170">
        <f>Assumptions!H15</f>
        <v>4.4225E-2</v>
      </c>
      <c r="I12" s="170">
        <f>Assumptions!I15</f>
        <v>4.3206250000000002E-2</v>
      </c>
      <c r="J12" s="170">
        <f>Assumptions!J15</f>
        <v>4.4232812499999996E-2</v>
      </c>
    </row>
    <row r="13" spans="2:13" s="18" customFormat="1" ht="15.75" customHeight="1" x14ac:dyDescent="0.3">
      <c r="B13" s="129" t="s">
        <v>64</v>
      </c>
      <c r="C13" s="130">
        <v>27165</v>
      </c>
      <c r="D13" s="130">
        <v>28731</v>
      </c>
      <c r="E13" s="130">
        <v>34458</v>
      </c>
      <c r="F13" s="131">
        <v>33429</v>
      </c>
      <c r="G13" s="171">
        <f>G14*G3</f>
        <v>38078.416799999999</v>
      </c>
      <c r="H13" s="172">
        <f>H14*H3</f>
        <v>44821.469774999998</v>
      </c>
      <c r="I13" s="172">
        <f>I14*I3</f>
        <v>53140.334565240009</v>
      </c>
      <c r="J13" s="172">
        <f>J14*J3</f>
        <v>63185.901657092109</v>
      </c>
    </row>
    <row r="14" spans="2:13" s="18" customFormat="1" ht="15.75" customHeight="1" x14ac:dyDescent="0.3">
      <c r="B14" s="127" t="s">
        <v>65</v>
      </c>
      <c r="C14" s="181">
        <f>C13/C3</f>
        <v>0.14816653121778545</v>
      </c>
      <c r="D14" s="181">
        <f>D13/D3</f>
        <v>0.12993808595604961</v>
      </c>
      <c r="E14" s="181">
        <f>E13/E3</f>
        <v>0.13474156740988683</v>
      </c>
      <c r="F14" s="182">
        <f>F13/F3</f>
        <v>0.11693613270181968</v>
      </c>
      <c r="G14" s="167">
        <f>Assumptions!G10</f>
        <v>0.12</v>
      </c>
      <c r="H14" s="168">
        <f>Assumptions!H10</f>
        <v>0.125</v>
      </c>
      <c r="I14" s="168">
        <f>Assumptions!I10</f>
        <v>0.13</v>
      </c>
      <c r="J14" s="168">
        <f>Assumptions!J10</f>
        <v>0.13500000000000001</v>
      </c>
    </row>
    <row r="15" spans="2:13" s="18" customFormat="1" ht="15.75" customHeight="1" thickBot="1" x14ac:dyDescent="0.35">
      <c r="B15" s="132" t="s">
        <v>66</v>
      </c>
      <c r="C15" s="133">
        <v>3502</v>
      </c>
      <c r="D15" s="133">
        <v>3682</v>
      </c>
      <c r="E15" s="133">
        <v>4121</v>
      </c>
      <c r="F15" s="134">
        <v>4365</v>
      </c>
      <c r="G15" s="173">
        <f>G3*Assumptions!G16</f>
        <v>5077.1222400000006</v>
      </c>
      <c r="H15" s="174">
        <f>H3*Assumptions!H16</f>
        <v>6095.7198894000003</v>
      </c>
      <c r="I15" s="174">
        <f>I3*Assumptions!I16</f>
        <v>6949.1206739160007</v>
      </c>
      <c r="J15" s="174">
        <f>J3*Assumptions!J16</f>
        <v>8424.7868876122793</v>
      </c>
      <c r="M15" s="135"/>
    </row>
    <row r="16" spans="2:13" s="18" customFormat="1" ht="15.75" customHeight="1" x14ac:dyDescent="0.3">
      <c r="B16" s="129" t="s">
        <v>67</v>
      </c>
      <c r="C16" s="172">
        <f t="shared" ref="C16:J16" si="4">C13-C15</f>
        <v>23663</v>
      </c>
      <c r="D16" s="172">
        <f t="shared" si="4"/>
        <v>25049</v>
      </c>
      <c r="E16" s="172">
        <f t="shared" si="4"/>
        <v>30337</v>
      </c>
      <c r="F16" s="185">
        <f t="shared" si="4"/>
        <v>29064</v>
      </c>
      <c r="G16" s="171">
        <f t="shared" si="4"/>
        <v>33001.294559999995</v>
      </c>
      <c r="H16" s="172">
        <f t="shared" si="4"/>
        <v>38725.749885599995</v>
      </c>
      <c r="I16" s="172">
        <f t="shared" si="4"/>
        <v>46191.213891324005</v>
      </c>
      <c r="J16" s="172">
        <f t="shared" si="4"/>
        <v>54761.114769479827</v>
      </c>
    </row>
    <row r="17" spans="2:10" s="18" customFormat="1" ht="15.75" customHeight="1" x14ac:dyDescent="0.3">
      <c r="B17" s="127" t="s">
        <v>68</v>
      </c>
      <c r="C17" s="181">
        <f t="shared" ref="C17:J17" si="5">C16/C3</f>
        <v>0.12906551180586995</v>
      </c>
      <c r="D17" s="181">
        <f t="shared" si="5"/>
        <v>0.11328596690380031</v>
      </c>
      <c r="E17" s="181">
        <f t="shared" si="5"/>
        <v>0.11862716729101332</v>
      </c>
      <c r="F17" s="182">
        <f t="shared" si="5"/>
        <v>0.10166716805305834</v>
      </c>
      <c r="G17" s="167">
        <f t="shared" si="5"/>
        <v>0.10399999999999998</v>
      </c>
      <c r="H17" s="168">
        <f t="shared" si="5"/>
        <v>0.10799999999999998</v>
      </c>
      <c r="I17" s="168">
        <f t="shared" si="5"/>
        <v>0.113</v>
      </c>
      <c r="J17" s="168">
        <f t="shared" si="5"/>
        <v>0.11700000000000001</v>
      </c>
    </row>
    <row r="18" spans="2:10" ht="15.75" customHeight="1" x14ac:dyDescent="0.3">
      <c r="B18" s="136" t="s">
        <v>134</v>
      </c>
      <c r="C18" s="137">
        <v>2891</v>
      </c>
      <c r="D18" s="137">
        <v>4953</v>
      </c>
      <c r="E18" s="137">
        <v>3198</v>
      </c>
      <c r="F18" s="138">
        <v>4986</v>
      </c>
      <c r="G18" s="139">
        <v>5500</v>
      </c>
      <c r="H18" s="137">
        <v>6200</v>
      </c>
      <c r="I18" s="137">
        <v>7000</v>
      </c>
      <c r="J18" s="137">
        <v>8000</v>
      </c>
    </row>
    <row r="19" spans="2:10" s="18" customFormat="1" ht="15.75" customHeight="1" thickBot="1" x14ac:dyDescent="0.35">
      <c r="B19" s="119" t="s">
        <v>69</v>
      </c>
      <c r="C19" s="120">
        <v>9445</v>
      </c>
      <c r="D19" s="120">
        <v>9512</v>
      </c>
      <c r="E19" s="120">
        <v>9925</v>
      </c>
      <c r="F19" s="121">
        <v>10056</v>
      </c>
      <c r="G19" s="140">
        <v>10500</v>
      </c>
      <c r="H19" s="120">
        <v>11000</v>
      </c>
      <c r="I19" s="120">
        <v>10500</v>
      </c>
      <c r="J19" s="120">
        <v>10000</v>
      </c>
    </row>
    <row r="20" spans="2:10" s="18" customFormat="1" ht="15.75" customHeight="1" x14ac:dyDescent="0.3">
      <c r="B20" s="129" t="s">
        <v>70</v>
      </c>
      <c r="C20" s="172">
        <f t="shared" ref="C20:J20" si="6">C16+C18-C19</f>
        <v>17109</v>
      </c>
      <c r="D20" s="172">
        <f t="shared" si="6"/>
        <v>20490</v>
      </c>
      <c r="E20" s="172">
        <f t="shared" si="6"/>
        <v>23610</v>
      </c>
      <c r="F20" s="185">
        <f t="shared" si="6"/>
        <v>23994</v>
      </c>
      <c r="G20" s="171">
        <f t="shared" si="6"/>
        <v>28001.294559999995</v>
      </c>
      <c r="H20" s="172">
        <f t="shared" si="6"/>
        <v>33925.749885599995</v>
      </c>
      <c r="I20" s="172">
        <f t="shared" si="6"/>
        <v>42691.213891324005</v>
      </c>
      <c r="J20" s="172">
        <f t="shared" si="6"/>
        <v>52761.114769479827</v>
      </c>
    </row>
    <row r="21" spans="2:10" s="18" customFormat="1" ht="15.75" customHeight="1" x14ac:dyDescent="0.3">
      <c r="B21" s="127" t="s">
        <v>71</v>
      </c>
      <c r="C21" s="181">
        <f t="shared" ref="C21:J21" si="7">C20/C3</f>
        <v>9.3317915796248527E-2</v>
      </c>
      <c r="D21" s="181">
        <f t="shared" si="7"/>
        <v>9.2667550076205377E-2</v>
      </c>
      <c r="E21" s="181">
        <f t="shared" si="7"/>
        <v>9.2322491338656568E-2</v>
      </c>
      <c r="F21" s="182">
        <f t="shared" si="7"/>
        <v>8.3932081966180905E-2</v>
      </c>
      <c r="G21" s="167">
        <f t="shared" si="7"/>
        <v>8.8243042373547395E-2</v>
      </c>
      <c r="H21" s="168">
        <f t="shared" si="7"/>
        <v>9.4613558122659744E-2</v>
      </c>
      <c r="I21" s="168">
        <f t="shared" si="7"/>
        <v>0.10443776561208136</v>
      </c>
      <c r="J21" s="168">
        <f t="shared" si="7"/>
        <v>0.11272689487814416</v>
      </c>
    </row>
    <row r="22" spans="2:10" s="18" customFormat="1" ht="15.75" customHeight="1" x14ac:dyDescent="0.3">
      <c r="B22" s="123" t="s">
        <v>72</v>
      </c>
      <c r="C22" s="124">
        <v>4578</v>
      </c>
      <c r="D22" s="124">
        <v>4918</v>
      </c>
      <c r="E22" s="124">
        <v>5900</v>
      </c>
      <c r="F22" s="125">
        <v>6238</v>
      </c>
      <c r="G22" s="163">
        <f>G20*G23</f>
        <v>7140.3301127999985</v>
      </c>
      <c r="H22" s="164">
        <f>H20*H23</f>
        <v>8651.0662208279991</v>
      </c>
      <c r="I22" s="164">
        <f>I20*I23</f>
        <v>10886.259542287622</v>
      </c>
      <c r="J22" s="164">
        <f t="shared" ref="J22" si="8">J20*J23</f>
        <v>13454.084266217356</v>
      </c>
    </row>
    <row r="23" spans="2:10" s="18" customFormat="1" ht="15.75" customHeight="1" thickBot="1" x14ac:dyDescent="0.35">
      <c r="B23" s="128" t="s">
        <v>73</v>
      </c>
      <c r="C23" s="183">
        <f t="shared" ref="C23:F23" si="9">C22/C20</f>
        <v>0.2675784674732597</v>
      </c>
      <c r="D23" s="183">
        <f t="shared" si="9"/>
        <v>0.24001952171791119</v>
      </c>
      <c r="E23" s="183">
        <f t="shared" si="9"/>
        <v>0.24989411266412537</v>
      </c>
      <c r="F23" s="184">
        <f t="shared" si="9"/>
        <v>0.2599816620821872</v>
      </c>
      <c r="G23" s="169">
        <f>Assumptions!G18</f>
        <v>0.255</v>
      </c>
      <c r="H23" s="170">
        <f>Assumptions!H18</f>
        <v>0.255</v>
      </c>
      <c r="I23" s="170">
        <f>Assumptions!I18</f>
        <v>0.255</v>
      </c>
      <c r="J23" s="170">
        <f>Assumptions!J18</f>
        <v>0.255</v>
      </c>
    </row>
    <row r="24" spans="2:10" s="18" customFormat="1" ht="15.75" customHeight="1" x14ac:dyDescent="0.3">
      <c r="B24" s="141" t="s">
        <v>74</v>
      </c>
      <c r="C24" s="186">
        <f t="shared" ref="C24:J24" si="10">C20-C22</f>
        <v>12531</v>
      </c>
      <c r="D24" s="186">
        <f t="shared" si="10"/>
        <v>15572</v>
      </c>
      <c r="E24" s="186">
        <f t="shared" si="10"/>
        <v>17710</v>
      </c>
      <c r="F24" s="187">
        <f t="shared" si="10"/>
        <v>17756</v>
      </c>
      <c r="G24" s="188">
        <f t="shared" si="10"/>
        <v>20860.964447199996</v>
      </c>
      <c r="H24" s="186">
        <f t="shared" si="10"/>
        <v>25274.683664771997</v>
      </c>
      <c r="I24" s="186">
        <f t="shared" si="10"/>
        <v>31804.954349036383</v>
      </c>
      <c r="J24" s="186">
        <f t="shared" si="10"/>
        <v>39307.030503262475</v>
      </c>
    </row>
    <row r="25" spans="2:10" s="18" customFormat="1" ht="15.75" customHeight="1" x14ac:dyDescent="0.3">
      <c r="B25" s="142" t="s">
        <v>75</v>
      </c>
      <c r="C25" s="143">
        <v>2060</v>
      </c>
      <c r="D25" s="143">
        <v>2488</v>
      </c>
      <c r="E25" s="143">
        <v>2636</v>
      </c>
      <c r="F25" s="144">
        <v>2870</v>
      </c>
      <c r="G25" s="145">
        <v>3300</v>
      </c>
      <c r="H25" s="143">
        <v>3795</v>
      </c>
      <c r="I25" s="143">
        <v>4365</v>
      </c>
      <c r="J25" s="143">
        <v>5020</v>
      </c>
    </row>
    <row r="26" spans="2:10" s="18" customFormat="1" ht="15.75" customHeight="1" x14ac:dyDescent="0.3">
      <c r="B26" s="146" t="s">
        <v>76</v>
      </c>
      <c r="C26" s="189">
        <f>C24-C25</f>
        <v>10471</v>
      </c>
      <c r="D26" s="189">
        <f t="shared" ref="D26:J26" si="11">D24-D25</f>
        <v>13084</v>
      </c>
      <c r="E26" s="189">
        <f t="shared" si="11"/>
        <v>15074</v>
      </c>
      <c r="F26" s="190">
        <f t="shared" si="11"/>
        <v>14886</v>
      </c>
      <c r="G26" s="191">
        <f t="shared" si="11"/>
        <v>17560.964447199996</v>
      </c>
      <c r="H26" s="189">
        <f t="shared" si="11"/>
        <v>21479.683664771997</v>
      </c>
      <c r="I26" s="189">
        <f t="shared" si="11"/>
        <v>27439.954349036383</v>
      </c>
      <c r="J26" s="189">
        <f t="shared" si="11"/>
        <v>34287.030503262475</v>
      </c>
    </row>
    <row r="27" spans="2:10" s="18" customFormat="1" ht="15.75" customHeight="1" thickBot="1" x14ac:dyDescent="0.35">
      <c r="B27" s="147" t="s">
        <v>77</v>
      </c>
      <c r="C27" s="192">
        <f t="shared" ref="C27:J27" si="12">C26/C3</f>
        <v>5.7112157127974648E-2</v>
      </c>
      <c r="D27" s="192">
        <f t="shared" si="12"/>
        <v>5.9173363845635492E-2</v>
      </c>
      <c r="E27" s="192">
        <f t="shared" si="12"/>
        <v>5.8944059061368452E-2</v>
      </c>
      <c r="F27" s="193">
        <f t="shared" si="12"/>
        <v>5.2071891812476824E-2</v>
      </c>
      <c r="G27" s="194">
        <f t="shared" si="12"/>
        <v>5.5341474534834116E-2</v>
      </c>
      <c r="H27" s="195">
        <f t="shared" si="12"/>
        <v>5.9903445192109384E-2</v>
      </c>
      <c r="I27" s="195">
        <f t="shared" si="12"/>
        <v>6.7127805922924916E-2</v>
      </c>
      <c r="J27" s="195">
        <f t="shared" si="12"/>
        <v>7.3256042828359236E-2</v>
      </c>
    </row>
    <row r="28" spans="2:10" s="18" customFormat="1" ht="6" customHeight="1" x14ac:dyDescent="0.3">
      <c r="B28" s="148"/>
      <c r="C28" s="60"/>
      <c r="D28" s="60"/>
      <c r="E28" s="60"/>
      <c r="F28" s="60"/>
      <c r="G28" s="60"/>
      <c r="H28" s="60"/>
      <c r="I28" s="60"/>
      <c r="J28" s="60"/>
    </row>
    <row r="29" spans="2:10" s="18" customFormat="1" ht="15.75" customHeight="1" x14ac:dyDescent="0.3">
      <c r="B29" s="149" t="s">
        <v>78</v>
      </c>
      <c r="C29" s="196">
        <f>C26/C30</f>
        <v>76.119511485897064</v>
      </c>
      <c r="D29" s="196">
        <f t="shared" ref="D29:J29" si="13">D26/D30</f>
        <v>95.114858970630991</v>
      </c>
      <c r="E29" s="196">
        <f t="shared" si="13"/>
        <v>109.58127362605408</v>
      </c>
      <c r="F29" s="197">
        <f t="shared" si="13"/>
        <v>108.21459726664727</v>
      </c>
      <c r="G29" s="198">
        <f t="shared" si="13"/>
        <v>127.66039871474263</v>
      </c>
      <c r="H29" s="196">
        <f t="shared" si="13"/>
        <v>156.14774400095956</v>
      </c>
      <c r="I29" s="196">
        <f t="shared" si="13"/>
        <v>199.47626017037209</v>
      </c>
      <c r="J29" s="196">
        <f t="shared" si="13"/>
        <v>249.25145756951494</v>
      </c>
    </row>
    <row r="30" spans="2:10" s="18" customFormat="1" ht="15.75" customHeight="1" x14ac:dyDescent="0.3">
      <c r="B30" s="150" t="s">
        <v>79</v>
      </c>
      <c r="C30" s="151">
        <v>137.56</v>
      </c>
      <c r="D30" s="151">
        <v>137.56</v>
      </c>
      <c r="E30" s="151">
        <v>137.56</v>
      </c>
      <c r="F30" s="152">
        <v>137.56</v>
      </c>
      <c r="G30" s="153">
        <v>137.56</v>
      </c>
      <c r="H30" s="151">
        <v>137.56</v>
      </c>
      <c r="I30" s="151">
        <v>137.56</v>
      </c>
      <c r="J30" s="151">
        <v>137.56</v>
      </c>
    </row>
    <row r="31" spans="2:10" s="18" customFormat="1" ht="13.8" x14ac:dyDescent="0.3"/>
    <row r="32" spans="2:10" s="18" customFormat="1" ht="13.8" x14ac:dyDescent="0.3"/>
    <row r="33" s="18" customFormat="1" ht="13.8" x14ac:dyDescent="0.3"/>
    <row r="34" s="18" customFormat="1" ht="13.8" x14ac:dyDescent="0.3"/>
    <row r="35" s="18" customFormat="1" ht="13.8" x14ac:dyDescent="0.3"/>
    <row r="36" s="18" customFormat="1" ht="13.8" x14ac:dyDescent="0.3"/>
    <row r="37" s="18" customFormat="1" ht="13.8" x14ac:dyDescent="0.3"/>
    <row r="38" s="18" customFormat="1" ht="13.8" x14ac:dyDescent="0.3"/>
    <row r="39" s="18" customFormat="1" ht="13.8" x14ac:dyDescent="0.3"/>
    <row r="40" s="18" customFormat="1" ht="13.8" x14ac:dyDescent="0.3"/>
    <row r="41" s="18" customFormat="1" ht="13.8" x14ac:dyDescent="0.3"/>
    <row r="42" s="18" customFormat="1" ht="13.8" x14ac:dyDescent="0.3"/>
    <row r="43" s="18" customFormat="1" ht="13.8" x14ac:dyDescent="0.3"/>
    <row r="44" s="18" customFormat="1" ht="13.8" x14ac:dyDescent="0.3"/>
    <row r="45" s="18" customFormat="1" ht="13.8" x14ac:dyDescent="0.3"/>
  </sheetData>
  <sheetProtection algorithmName="SHA-512" hashValue="SM62FOOx8/z/Dqpdhg9ij2PgF3lcS3NV9BtQBawP7wVfUdHKR2K3c6ajLSTPIElwNb50eDZBQAiQquUcTifpUQ==" saltValue="RVYXuT/DTNBUQwGqWuc8KQ==" spinCount="100000" sheet="1" objects="1" scenarios="1"/>
  <mergeCells count="1">
    <mergeCell ref="B1:J1"/>
  </mergeCells>
  <pageMargins left="0.75" right="0.75" top="1" bottom="1" header="0.511811023622047" footer="0.511811023622047"/>
  <pageSetup paperSize="9" scale="87"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C36"/>
  <sheetViews>
    <sheetView showGridLines="0" zoomScale="111" zoomScaleNormal="111" workbookViewId="0"/>
  </sheetViews>
  <sheetFormatPr defaultColWidth="8.6640625" defaultRowHeight="14.4" x14ac:dyDescent="0.3"/>
  <cols>
    <col min="1" max="1" width="2.33203125" style="199" customWidth="1"/>
    <col min="2" max="2" width="35" style="199" customWidth="1"/>
    <col min="3" max="3" width="26.88671875" style="199" customWidth="1"/>
    <col min="4" max="16384" width="8.6640625" style="199"/>
  </cols>
  <sheetData>
    <row r="1" spans="1:3" ht="21" customHeight="1" x14ac:dyDescent="0.3">
      <c r="B1" s="339" t="s">
        <v>80</v>
      </c>
      <c r="C1" s="339"/>
    </row>
    <row r="3" spans="1:3" x14ac:dyDescent="0.3">
      <c r="B3" s="335" t="s">
        <v>159</v>
      </c>
      <c r="C3" s="336"/>
    </row>
    <row r="4" spans="1:3" s="8" customFormat="1" x14ac:dyDescent="0.3">
      <c r="B4" s="200" t="s">
        <v>160</v>
      </c>
      <c r="C4" s="201" t="s">
        <v>161</v>
      </c>
    </row>
    <row r="5" spans="1:3" s="11" customFormat="1" ht="15" x14ac:dyDescent="0.3">
      <c r="A5" s="199"/>
      <c r="B5" s="202" t="s">
        <v>162</v>
      </c>
      <c r="C5" s="203">
        <v>7.9000000000000001E-2</v>
      </c>
    </row>
    <row r="6" spans="1:3" s="11" customFormat="1" x14ac:dyDescent="0.3">
      <c r="A6" s="199"/>
      <c r="B6" s="204" t="s">
        <v>81</v>
      </c>
      <c r="C6" s="205">
        <v>1.22</v>
      </c>
    </row>
    <row r="7" spans="1:3" s="11" customFormat="1" x14ac:dyDescent="0.3">
      <c r="A7" s="199"/>
      <c r="B7" s="206" t="s">
        <v>82</v>
      </c>
      <c r="C7" s="207">
        <v>6.2E-2</v>
      </c>
    </row>
    <row r="8" spans="1:3" s="11" customFormat="1" x14ac:dyDescent="0.3">
      <c r="A8" s="199"/>
      <c r="B8" s="204" t="s">
        <v>83</v>
      </c>
      <c r="C8" s="208">
        <v>0</v>
      </c>
    </row>
    <row r="9" spans="1:3" s="11" customFormat="1" ht="15" x14ac:dyDescent="0.3">
      <c r="A9" s="199"/>
      <c r="B9" s="209" t="s">
        <v>172</v>
      </c>
      <c r="C9" s="217">
        <f>C5+C6*C7+C8</f>
        <v>0.15464</v>
      </c>
    </row>
    <row r="10" spans="1:3" s="11" customFormat="1" x14ac:dyDescent="0.3">
      <c r="A10" s="199"/>
    </row>
    <row r="11" spans="1:3" s="11" customFormat="1" x14ac:dyDescent="0.3">
      <c r="A11" s="199"/>
      <c r="B11" s="335" t="s">
        <v>166</v>
      </c>
      <c r="C11" s="336"/>
    </row>
    <row r="12" spans="1:3" s="8" customFormat="1" x14ac:dyDescent="0.3">
      <c r="B12" s="200" t="s">
        <v>160</v>
      </c>
      <c r="C12" s="201" t="s">
        <v>161</v>
      </c>
    </row>
    <row r="13" spans="1:3" s="11" customFormat="1" x14ac:dyDescent="0.3">
      <c r="A13" s="199"/>
      <c r="B13" s="210" t="s">
        <v>84</v>
      </c>
      <c r="C13" s="211">
        <v>125497</v>
      </c>
    </row>
    <row r="14" spans="1:3" s="11" customFormat="1" x14ac:dyDescent="0.3">
      <c r="A14" s="199"/>
      <c r="B14" s="204" t="s">
        <v>85</v>
      </c>
      <c r="C14" s="212">
        <v>10056</v>
      </c>
    </row>
    <row r="15" spans="1:3" s="11" customFormat="1" ht="15" x14ac:dyDescent="0.3">
      <c r="A15" s="199"/>
      <c r="B15" s="213" t="s">
        <v>163</v>
      </c>
      <c r="C15" s="218">
        <f>C14/C13</f>
        <v>8.012940548379642E-2</v>
      </c>
    </row>
    <row r="16" spans="1:3" s="11" customFormat="1" x14ac:dyDescent="0.3">
      <c r="A16" s="199"/>
      <c r="B16" s="204" t="s">
        <v>86</v>
      </c>
      <c r="C16" s="208">
        <v>0.255</v>
      </c>
    </row>
    <row r="17" spans="1:3" s="11" customFormat="1" ht="15" x14ac:dyDescent="0.3">
      <c r="A17" s="199"/>
      <c r="B17" s="209" t="s">
        <v>173</v>
      </c>
      <c r="C17" s="217">
        <f>C15*(1-C16)</f>
        <v>5.9696407085428331E-2</v>
      </c>
    </row>
    <row r="18" spans="1:3" s="11" customFormat="1" x14ac:dyDescent="0.3">
      <c r="A18" s="199"/>
    </row>
    <row r="19" spans="1:3" s="11" customFormat="1" x14ac:dyDescent="0.3">
      <c r="A19" s="199"/>
      <c r="B19" s="335" t="s">
        <v>167</v>
      </c>
      <c r="C19" s="336"/>
    </row>
    <row r="20" spans="1:3" s="8" customFormat="1" x14ac:dyDescent="0.3">
      <c r="B20" s="200" t="s">
        <v>160</v>
      </c>
      <c r="C20" s="201" t="s">
        <v>161</v>
      </c>
    </row>
    <row r="21" spans="1:3" s="11" customFormat="1" x14ac:dyDescent="0.3">
      <c r="A21" s="199"/>
      <c r="B21" s="202" t="s">
        <v>169</v>
      </c>
      <c r="C21" s="219">
        <f>'Income Statement'!F30*3927</f>
        <v>540198.12</v>
      </c>
    </row>
    <row r="22" spans="1:3" s="11" customFormat="1" x14ac:dyDescent="0.3">
      <c r="A22" s="199"/>
      <c r="B22" s="204" t="s">
        <v>135</v>
      </c>
      <c r="C22" s="212">
        <v>20848</v>
      </c>
    </row>
    <row r="23" spans="1:3" s="11" customFormat="1" x14ac:dyDescent="0.3">
      <c r="A23" s="199"/>
      <c r="B23" s="213" t="s">
        <v>87</v>
      </c>
      <c r="C23" s="220">
        <f>C13-C22</f>
        <v>104649</v>
      </c>
    </row>
    <row r="24" spans="1:3" s="11" customFormat="1" x14ac:dyDescent="0.3">
      <c r="A24" s="199"/>
      <c r="B24" s="204" t="s">
        <v>88</v>
      </c>
      <c r="C24" s="221">
        <f>C21+C13-C22</f>
        <v>644847.12</v>
      </c>
    </row>
    <row r="25" spans="1:3" s="11" customFormat="1" ht="15" x14ac:dyDescent="0.3">
      <c r="A25" s="199"/>
      <c r="B25" s="213" t="s">
        <v>164</v>
      </c>
      <c r="C25" s="218">
        <f>C21/C24</f>
        <v>0.83771502305848866</v>
      </c>
    </row>
    <row r="26" spans="1:3" s="11" customFormat="1" ht="15" x14ac:dyDescent="0.3">
      <c r="A26" s="199"/>
      <c r="B26" s="214" t="s">
        <v>165</v>
      </c>
      <c r="C26" s="222">
        <f>1-C25</f>
        <v>0.16228497694151134</v>
      </c>
    </row>
    <row r="27" spans="1:3" s="11" customFormat="1" x14ac:dyDescent="0.3">
      <c r="A27" s="199"/>
    </row>
    <row r="28" spans="1:3" s="11" customFormat="1" x14ac:dyDescent="0.3">
      <c r="A28" s="199"/>
      <c r="B28" s="337" t="s">
        <v>168</v>
      </c>
      <c r="C28" s="338"/>
    </row>
    <row r="29" spans="1:3" s="11" customFormat="1" x14ac:dyDescent="0.3">
      <c r="A29" s="199"/>
      <c r="B29" s="215" t="s">
        <v>89</v>
      </c>
      <c r="C29" s="223">
        <f>C25*C9+C26*C17</f>
        <v>0.13923208121311448</v>
      </c>
    </row>
    <row r="31" spans="1:3" x14ac:dyDescent="0.3">
      <c r="B31" s="216" t="s">
        <v>91</v>
      </c>
    </row>
    <row r="32" spans="1:3" x14ac:dyDescent="0.3">
      <c r="B32" s="334" t="s">
        <v>92</v>
      </c>
      <c r="C32" s="334"/>
    </row>
    <row r="33" spans="2:3" x14ac:dyDescent="0.3">
      <c r="B33" s="334"/>
      <c r="C33" s="334"/>
    </row>
    <row r="34" spans="2:3" x14ac:dyDescent="0.3">
      <c r="B34" s="334"/>
      <c r="C34" s="334"/>
    </row>
    <row r="35" spans="2:3" x14ac:dyDescent="0.3">
      <c r="B35" s="334"/>
      <c r="C35" s="334"/>
    </row>
    <row r="36" spans="2:3" x14ac:dyDescent="0.3">
      <c r="B36" s="334"/>
      <c r="C36" s="334"/>
    </row>
  </sheetData>
  <sheetProtection algorithmName="SHA-512" hashValue="gsvttWJLS1x+JXu0hkVDzMUmPbWkRnEp1VdZs+UdHnYMoEXyQxgEMti8o62dTdpnhH9yc2T0i1RrQJ/hoXXRuA==" saltValue="NHoTp1NjbRgar9FqfWGyiw==" spinCount="100000" sheet="1" objects="1" scenarios="1"/>
  <mergeCells count="6">
    <mergeCell ref="B32:C36"/>
    <mergeCell ref="B11:C11"/>
    <mergeCell ref="B19:C19"/>
    <mergeCell ref="B28:C28"/>
    <mergeCell ref="B1:C1"/>
    <mergeCell ref="B3:C3"/>
  </mergeCells>
  <pageMargins left="1.01" right="0.75" top="1.56" bottom="1" header="0.71" footer="0.511811023622047"/>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L49"/>
  <sheetViews>
    <sheetView showGridLines="0" zoomScaleNormal="100" zoomScaleSheetLayoutView="72" workbookViewId="0"/>
  </sheetViews>
  <sheetFormatPr defaultColWidth="8.6640625" defaultRowHeight="14.4" x14ac:dyDescent="0.3"/>
  <cols>
    <col min="1" max="1" width="2.33203125" style="8" customWidth="1"/>
    <col min="2" max="2" width="38" style="199" customWidth="1"/>
    <col min="3" max="4" width="14" style="199" customWidth="1"/>
    <col min="5" max="5" width="27.88671875" style="199" bestFit="1" customWidth="1"/>
    <col min="6" max="6" width="14" style="199" customWidth="1"/>
    <col min="7" max="7" width="8.6640625" style="199"/>
    <col min="8" max="12" width="10.44140625" style="199" bestFit="1" customWidth="1"/>
    <col min="13" max="16384" width="8.6640625" style="199"/>
  </cols>
  <sheetData>
    <row r="1" spans="1:12" s="224" customFormat="1" ht="21" customHeight="1" x14ac:dyDescent="0.3">
      <c r="A1" s="8"/>
      <c r="B1" s="346" t="s">
        <v>93</v>
      </c>
      <c r="C1" s="346"/>
      <c r="D1" s="346"/>
      <c r="E1" s="346"/>
      <c r="F1" s="346"/>
    </row>
    <row r="2" spans="1:12" s="11" customFormat="1" ht="6.45" customHeight="1" x14ac:dyDescent="0.3">
      <c r="A2" s="8"/>
    </row>
    <row r="3" spans="1:12" s="11" customFormat="1" ht="15" customHeight="1" x14ac:dyDescent="0.3">
      <c r="A3" s="8"/>
      <c r="B3" s="225" t="s">
        <v>89</v>
      </c>
      <c r="C3" s="264">
        <f>Sensitivity!J6</f>
        <v>0.13923208121311448</v>
      </c>
    </row>
    <row r="4" spans="1:12" s="11" customFormat="1" ht="15" customHeight="1" x14ac:dyDescent="0.3">
      <c r="A4" s="8"/>
      <c r="B4" s="225" t="s">
        <v>140</v>
      </c>
      <c r="C4" s="264">
        <f>Sensitivity!J7</f>
        <v>5.5E-2</v>
      </c>
    </row>
    <row r="5" spans="1:12" s="11" customFormat="1" ht="15" customHeight="1" x14ac:dyDescent="0.3">
      <c r="A5" s="8"/>
      <c r="B5" s="225" t="s">
        <v>141</v>
      </c>
      <c r="C5" s="265">
        <f>Sensitivity!J16</f>
        <v>14</v>
      </c>
    </row>
    <row r="6" spans="1:12" s="8" customFormat="1" ht="15" customHeight="1" x14ac:dyDescent="0.3"/>
    <row r="7" spans="1:12" s="8" customFormat="1" ht="15" customHeight="1" x14ac:dyDescent="0.3">
      <c r="B7" s="226" t="s">
        <v>56</v>
      </c>
      <c r="C7" s="227" t="s">
        <v>2</v>
      </c>
      <c r="D7" s="227" t="s">
        <v>3</v>
      </c>
      <c r="E7" s="227" t="s">
        <v>4</v>
      </c>
      <c r="F7" s="227" t="s">
        <v>5</v>
      </c>
    </row>
    <row r="8" spans="1:12" s="11" customFormat="1" ht="15.75" customHeight="1" x14ac:dyDescent="0.3">
      <c r="A8" s="8"/>
      <c r="B8" s="228" t="s">
        <v>94</v>
      </c>
      <c r="C8" s="229"/>
      <c r="D8" s="229"/>
      <c r="E8" s="229"/>
      <c r="F8" s="229"/>
    </row>
    <row r="9" spans="1:12" s="231" customFormat="1" ht="15.75" customHeight="1" x14ac:dyDescent="0.3">
      <c r="A9" s="56"/>
      <c r="B9" s="230" t="s">
        <v>67</v>
      </c>
      <c r="C9" s="266">
        <f>'Income Statement'!G16</f>
        <v>33001.294559999995</v>
      </c>
      <c r="D9" s="266">
        <f>'Income Statement'!H16</f>
        <v>38725.749885599995</v>
      </c>
      <c r="E9" s="266">
        <f>'Income Statement'!I16</f>
        <v>46191.213891324005</v>
      </c>
      <c r="F9" s="266">
        <f>'Income Statement'!J16</f>
        <v>54761.114769479827</v>
      </c>
    </row>
    <row r="10" spans="1:12" s="231" customFormat="1" ht="15.75" customHeight="1" x14ac:dyDescent="0.3">
      <c r="A10" s="56"/>
      <c r="B10" s="232" t="s">
        <v>95</v>
      </c>
      <c r="C10" s="267">
        <f>C9*'Income Statement'!G23</f>
        <v>8415.3301127999985</v>
      </c>
      <c r="D10" s="267">
        <f>D9*'Income Statement'!H23</f>
        <v>9875.0662208279991</v>
      </c>
      <c r="E10" s="267">
        <f>E9*'Income Statement'!I23</f>
        <v>11778.759542287622</v>
      </c>
      <c r="F10" s="267">
        <f>F9*'Income Statement'!J23</f>
        <v>13964.084266217356</v>
      </c>
    </row>
    <row r="11" spans="1:12" s="231" customFormat="1" ht="15.75" customHeight="1" x14ac:dyDescent="0.3">
      <c r="A11" s="56"/>
      <c r="B11" s="230" t="s">
        <v>96</v>
      </c>
      <c r="C11" s="266">
        <f>C9-C10</f>
        <v>24585.964447199996</v>
      </c>
      <c r="D11" s="266">
        <f t="shared" ref="D11:F11" si="0">D9-D10</f>
        <v>28850.683664771997</v>
      </c>
      <c r="E11" s="266">
        <f>E9-E10</f>
        <v>34412.454349036387</v>
      </c>
      <c r="F11" s="266">
        <f t="shared" si="0"/>
        <v>40797.030503262475</v>
      </c>
      <c r="H11" s="56"/>
      <c r="I11" s="56"/>
      <c r="J11" s="56"/>
      <c r="K11" s="56"/>
      <c r="L11" s="56"/>
    </row>
    <row r="12" spans="1:12" s="231" customFormat="1" ht="15.75" customHeight="1" x14ac:dyDescent="0.3">
      <c r="A12" s="56"/>
      <c r="B12" s="232" t="s">
        <v>97</v>
      </c>
      <c r="C12" s="267">
        <f>'Income Statement'!G15</f>
        <v>5077.1222400000006</v>
      </c>
      <c r="D12" s="267">
        <f>'Income Statement'!H15</f>
        <v>6095.7198894000003</v>
      </c>
      <c r="E12" s="267">
        <f>'Income Statement'!I15</f>
        <v>6949.1206739160007</v>
      </c>
      <c r="F12" s="267">
        <f>'Income Statement'!J15</f>
        <v>8424.7868876122793</v>
      </c>
      <c r="H12" s="56"/>
      <c r="I12" s="56"/>
      <c r="J12" s="56"/>
      <c r="K12" s="56"/>
      <c r="L12" s="56"/>
    </row>
    <row r="13" spans="1:12" s="231" customFormat="1" ht="15.75" customHeight="1" x14ac:dyDescent="0.3">
      <c r="A13" s="56"/>
      <c r="B13" s="233" t="s">
        <v>98</v>
      </c>
      <c r="C13" s="268">
        <f>'Income Statement'!G3*Assumptions!G17</f>
        <v>7933.0035000000007</v>
      </c>
      <c r="D13" s="268">
        <f>'Income Statement'!H3*Assumptions!H17</f>
        <v>10040.0092296</v>
      </c>
      <c r="E13" s="268">
        <f>'Income Statement'!I3*Assumptions!I17</f>
        <v>11445.610521744002</v>
      </c>
      <c r="F13" s="268">
        <f>'Income Statement'!J3*Assumptions!J17</f>
        <v>11701.092899461502</v>
      </c>
      <c r="H13" s="56"/>
      <c r="I13" s="56"/>
      <c r="J13" s="56"/>
      <c r="K13" s="56"/>
      <c r="L13" s="56"/>
    </row>
    <row r="14" spans="1:12" s="231" customFormat="1" ht="15.75" customHeight="1" x14ac:dyDescent="0.3">
      <c r="A14" s="56"/>
      <c r="B14" s="232" t="s">
        <v>99</v>
      </c>
      <c r="C14" s="267">
        <f>Assumptions!G25</f>
        <v>58604.17</v>
      </c>
      <c r="D14" s="267">
        <f>Assumptions!H25</f>
        <v>-3046.2733440000047</v>
      </c>
      <c r="E14" s="267">
        <f>Assumptions!I25</f>
        <v>-71.714351639991946</v>
      </c>
      <c r="F14" s="267">
        <f>Assumptions!J25</f>
        <v>-531.40334565240482</v>
      </c>
      <c r="H14" s="56"/>
      <c r="I14" s="56"/>
      <c r="J14" s="56"/>
      <c r="K14" s="56"/>
      <c r="L14" s="56"/>
    </row>
    <row r="15" spans="1:12" s="231" customFormat="1" ht="15.75" customHeight="1" x14ac:dyDescent="0.3">
      <c r="A15" s="56"/>
      <c r="B15" s="234" t="s">
        <v>100</v>
      </c>
      <c r="C15" s="269">
        <f>C11+C12-C13-C14</f>
        <v>-36874.0868128</v>
      </c>
      <c r="D15" s="269">
        <f t="shared" ref="D15:F15" si="1">D11+D12-D13-D14</f>
        <v>27952.667668572005</v>
      </c>
      <c r="E15" s="269">
        <f t="shared" si="1"/>
        <v>29987.678852848374</v>
      </c>
      <c r="F15" s="269">
        <f t="shared" si="1"/>
        <v>38052.127837065658</v>
      </c>
    </row>
    <row r="16" spans="1:12" s="8" customFormat="1" ht="15.75" customHeight="1" x14ac:dyDescent="0.3"/>
    <row r="17" spans="1:7" s="231" customFormat="1" ht="15.75" customHeight="1" x14ac:dyDescent="0.3">
      <c r="A17" s="56"/>
      <c r="B17" s="347" t="s">
        <v>170</v>
      </c>
      <c r="C17" s="347"/>
      <c r="D17" s="347"/>
      <c r="E17" s="347"/>
      <c r="F17" s="347"/>
    </row>
    <row r="18" spans="1:7" s="231" customFormat="1" ht="15.75" customHeight="1" x14ac:dyDescent="0.3">
      <c r="A18" s="56"/>
      <c r="B18" s="233" t="s">
        <v>101</v>
      </c>
      <c r="C18" s="235">
        <v>0.5</v>
      </c>
      <c r="D18" s="235">
        <v>1.5</v>
      </c>
      <c r="E18" s="235">
        <v>2.5</v>
      </c>
      <c r="F18" s="235">
        <v>3.5</v>
      </c>
    </row>
    <row r="19" spans="1:7" s="231" customFormat="1" ht="15.75" customHeight="1" x14ac:dyDescent="0.3">
      <c r="A19" s="56"/>
      <c r="B19" s="232" t="s">
        <v>89</v>
      </c>
      <c r="C19" s="270">
        <f>$C$3</f>
        <v>0.13923208121311448</v>
      </c>
      <c r="D19" s="270">
        <f t="shared" ref="D19:F19" si="2">$C$3</f>
        <v>0.13923208121311448</v>
      </c>
      <c r="E19" s="270">
        <f t="shared" si="2"/>
        <v>0.13923208121311448</v>
      </c>
      <c r="F19" s="270">
        <f t="shared" si="2"/>
        <v>0.13923208121311448</v>
      </c>
    </row>
    <row r="20" spans="1:7" s="231" customFormat="1" ht="15.75" customHeight="1" x14ac:dyDescent="0.3">
      <c r="A20" s="56"/>
      <c r="B20" s="236" t="s">
        <v>102</v>
      </c>
      <c r="C20" s="271">
        <f>C15/(1+C19)^C18</f>
        <v>-34547.384267141388</v>
      </c>
      <c r="D20" s="271">
        <f t="shared" ref="D20:F20" si="3">D15/(1+D19)^D18</f>
        <v>22988.19919258399</v>
      </c>
      <c r="E20" s="271">
        <f t="shared" si="3"/>
        <v>21647.728640244601</v>
      </c>
      <c r="F20" s="271">
        <f t="shared" si="3"/>
        <v>24112.165997065811</v>
      </c>
    </row>
    <row r="21" spans="1:7" s="231" customFormat="1" ht="15.75" customHeight="1" x14ac:dyDescent="0.3">
      <c r="A21" s="56"/>
    </row>
    <row r="22" spans="1:7" s="8" customFormat="1" ht="15.75" customHeight="1" x14ac:dyDescent="0.3">
      <c r="B22" s="347" t="s">
        <v>171</v>
      </c>
      <c r="C22" s="347"/>
      <c r="D22" s="347"/>
      <c r="E22" s="347"/>
      <c r="F22" s="347"/>
    </row>
    <row r="23" spans="1:7" s="11" customFormat="1" ht="15.75" customHeight="1" x14ac:dyDescent="0.3">
      <c r="A23" s="8"/>
      <c r="B23" s="237" t="s">
        <v>103</v>
      </c>
      <c r="C23" s="237"/>
      <c r="D23" s="238"/>
      <c r="E23" s="239"/>
      <c r="F23" s="272">
        <f>F15*(1+$C$4)</f>
        <v>40144.994868104266</v>
      </c>
    </row>
    <row r="24" spans="1:7" s="11" customFormat="1" ht="15.75" customHeight="1" x14ac:dyDescent="0.3">
      <c r="A24" s="8"/>
      <c r="B24" s="66" t="s">
        <v>90</v>
      </c>
      <c r="C24" s="240"/>
      <c r="D24" s="241"/>
      <c r="E24" s="240"/>
      <c r="F24" s="273">
        <f>Assumptions!C24</f>
        <v>5.5E-2</v>
      </c>
    </row>
    <row r="25" spans="1:7" s="11" customFormat="1" ht="15.75" customHeight="1" x14ac:dyDescent="0.3">
      <c r="A25" s="8"/>
      <c r="B25" s="242" t="s">
        <v>104</v>
      </c>
      <c r="C25" s="243"/>
      <c r="D25" s="244"/>
      <c r="E25" s="243"/>
      <c r="F25" s="274">
        <f>F23/($C$3-$C$4)</f>
        <v>476599.82146866276</v>
      </c>
    </row>
    <row r="26" spans="1:7" s="11" customFormat="1" ht="15.75" customHeight="1" x14ac:dyDescent="0.3">
      <c r="A26" s="8"/>
      <c r="B26" s="245" t="s">
        <v>105</v>
      </c>
      <c r="C26" s="245"/>
      <c r="D26" s="246"/>
      <c r="E26" s="245"/>
      <c r="F26" s="275">
        <f>F25/(1+$C$3)^4</f>
        <v>282946.97150535905</v>
      </c>
    </row>
    <row r="27" spans="1:7" s="11" customFormat="1" ht="15.75" customHeight="1" x14ac:dyDescent="0.3">
      <c r="A27" s="8"/>
    </row>
    <row r="28" spans="1:7" s="11" customFormat="1" ht="15.75" customHeight="1" x14ac:dyDescent="0.3">
      <c r="A28" s="8"/>
      <c r="B28" s="347" t="s">
        <v>107</v>
      </c>
      <c r="C28" s="347"/>
      <c r="D28" s="8"/>
      <c r="E28" s="347" t="s">
        <v>136</v>
      </c>
      <c r="F28" s="347"/>
    </row>
    <row r="29" spans="1:7" s="11" customFormat="1" ht="15.75" customHeight="1" x14ac:dyDescent="0.3">
      <c r="A29" s="8"/>
      <c r="B29" s="247" t="s">
        <v>108</v>
      </c>
      <c r="C29" s="278">
        <f>SUM(C20:F20)</f>
        <v>34200.709562753014</v>
      </c>
      <c r="E29" s="247" t="s">
        <v>138</v>
      </c>
      <c r="F29" s="281">
        <f>'Income Statement'!J13*C5</f>
        <v>884602.62319928955</v>
      </c>
      <c r="G29" s="276">
        <f>Sensitivity!J15</f>
        <v>0.13923208121311448</v>
      </c>
    </row>
    <row r="30" spans="1:7" s="11" customFormat="1" ht="15.75" customHeight="1" x14ac:dyDescent="0.3">
      <c r="A30" s="8"/>
      <c r="B30" s="248" t="s">
        <v>109</v>
      </c>
      <c r="C30" s="279">
        <f>F26</f>
        <v>282946.97150535905</v>
      </c>
      <c r="E30" s="233" t="s">
        <v>106</v>
      </c>
      <c r="F30" s="268">
        <f>F29/(1+G29)^4</f>
        <v>525169.38098851684</v>
      </c>
      <c r="G30" s="277">
        <f>Sensitivity!J16</f>
        <v>14</v>
      </c>
    </row>
    <row r="31" spans="1:7" s="11" customFormat="1" ht="15.75" customHeight="1" x14ac:dyDescent="0.3">
      <c r="A31" s="8"/>
      <c r="B31" s="249" t="s">
        <v>110</v>
      </c>
      <c r="C31" s="280">
        <f>C29+C30</f>
        <v>317147.68106811208</v>
      </c>
      <c r="D31" s="250"/>
      <c r="E31" s="251" t="s">
        <v>108</v>
      </c>
      <c r="F31" s="282">
        <f>C29</f>
        <v>34200.709562753014</v>
      </c>
    </row>
    <row r="32" spans="1:7" s="11" customFormat="1" ht="15.75" customHeight="1" x14ac:dyDescent="0.3">
      <c r="A32" s="8"/>
      <c r="B32" s="247" t="s">
        <v>111</v>
      </c>
      <c r="C32" s="278">
        <f>WACC!C23</f>
        <v>104649</v>
      </c>
      <c r="E32" s="252" t="s">
        <v>111</v>
      </c>
      <c r="F32" s="283">
        <f>C32</f>
        <v>104649</v>
      </c>
    </row>
    <row r="33" spans="1:6" s="11" customFormat="1" ht="15.75" customHeight="1" x14ac:dyDescent="0.3">
      <c r="A33" s="8"/>
      <c r="B33" s="233" t="s">
        <v>112</v>
      </c>
      <c r="C33" s="253">
        <v>19240.66</v>
      </c>
      <c r="D33" s="8"/>
      <c r="E33" s="254" t="s">
        <v>112</v>
      </c>
      <c r="F33" s="281">
        <f>C33</f>
        <v>19240.66</v>
      </c>
    </row>
    <row r="34" spans="1:6" s="11" customFormat="1" ht="15.75" customHeight="1" x14ac:dyDescent="0.3">
      <c r="A34" s="8"/>
      <c r="B34" s="247" t="s">
        <v>113</v>
      </c>
      <c r="C34" s="255">
        <v>68377</v>
      </c>
      <c r="D34" s="8"/>
      <c r="E34" s="256" t="s">
        <v>113</v>
      </c>
      <c r="F34" s="283">
        <f>C34</f>
        <v>68377</v>
      </c>
    </row>
    <row r="35" spans="1:6" s="11" customFormat="1" ht="15.75" customHeight="1" x14ac:dyDescent="0.3">
      <c r="A35" s="8"/>
      <c r="B35" s="234" t="s">
        <v>114</v>
      </c>
      <c r="C35" s="269">
        <f>C31-C32-C33+C34</f>
        <v>261635.02106811208</v>
      </c>
      <c r="D35" s="8"/>
      <c r="E35" s="257" t="s">
        <v>114</v>
      </c>
      <c r="F35" s="284">
        <f>F30+F31-F32-F33+F34</f>
        <v>503857.43055126985</v>
      </c>
    </row>
    <row r="36" spans="1:6" s="11" customFormat="1" ht="18" customHeight="1" x14ac:dyDescent="0.3">
      <c r="A36" s="8"/>
      <c r="D36" s="8"/>
    </row>
    <row r="37" spans="1:6" s="11" customFormat="1" ht="18" customHeight="1" x14ac:dyDescent="0.3">
      <c r="A37" s="8"/>
      <c r="B37" s="233" t="s">
        <v>115</v>
      </c>
      <c r="C37" s="268">
        <f>'Income Statement'!F30</f>
        <v>137.56</v>
      </c>
      <c r="E37" s="233" t="s">
        <v>115</v>
      </c>
      <c r="F37" s="268">
        <f>C37</f>
        <v>137.56</v>
      </c>
    </row>
    <row r="38" spans="1:6" s="11" customFormat="1" ht="18" customHeight="1" x14ac:dyDescent="0.3">
      <c r="A38" s="8"/>
      <c r="B38" s="249" t="s">
        <v>116</v>
      </c>
      <c r="C38" s="280">
        <f>C35/C37</f>
        <v>1901.9702025887764</v>
      </c>
      <c r="D38" s="258"/>
      <c r="E38" s="249" t="s">
        <v>116</v>
      </c>
      <c r="F38" s="280">
        <f>F35/F37</f>
        <v>3662.8193555631715</v>
      </c>
    </row>
    <row r="39" spans="1:6" s="11" customFormat="1" ht="18" customHeight="1" x14ac:dyDescent="0.3">
      <c r="A39" s="8"/>
      <c r="B39" s="233" t="s">
        <v>117</v>
      </c>
      <c r="C39" s="259">
        <v>3927</v>
      </c>
      <c r="E39" s="233" t="s">
        <v>117</v>
      </c>
      <c r="F39" s="259">
        <v>3927</v>
      </c>
    </row>
    <row r="40" spans="1:6" s="11" customFormat="1" ht="18" customHeight="1" x14ac:dyDescent="0.3">
      <c r="A40" s="8"/>
      <c r="B40" s="260" t="s">
        <v>118</v>
      </c>
      <c r="C40" s="285">
        <f>C38/C39-1</f>
        <v>-0.51566839760917338</v>
      </c>
      <c r="D40" s="231"/>
      <c r="E40" s="261" t="s">
        <v>118</v>
      </c>
      <c r="F40" s="286">
        <f>F38/F39-1</f>
        <v>-6.7272891376834343E-2</v>
      </c>
    </row>
    <row r="42" spans="1:6" ht="17.399999999999999" x14ac:dyDescent="0.35">
      <c r="B42" s="262" t="s">
        <v>137</v>
      </c>
      <c r="C42" s="287">
        <f>(C38*50%)+(F38*50%)</f>
        <v>2782.3947790759739</v>
      </c>
      <c r="F42" s="263"/>
    </row>
    <row r="45" spans="1:6" ht="27.75" customHeight="1" x14ac:dyDescent="0.3">
      <c r="B45" s="342" t="s">
        <v>119</v>
      </c>
      <c r="C45" s="342"/>
      <c r="D45" s="342"/>
      <c r="E45" s="343">
        <f>C31</f>
        <v>317147.68106811208</v>
      </c>
      <c r="F45" s="343"/>
    </row>
    <row r="46" spans="1:6" ht="27.75" customHeight="1" x14ac:dyDescent="0.3">
      <c r="B46" s="344" t="s">
        <v>120</v>
      </c>
      <c r="C46" s="344"/>
      <c r="D46" s="344"/>
      <c r="E46" s="343">
        <f>C35</f>
        <v>261635.02106811208</v>
      </c>
      <c r="F46" s="343"/>
    </row>
    <row r="47" spans="1:6" ht="27.75" customHeight="1" x14ac:dyDescent="0.3">
      <c r="B47" s="345" t="s">
        <v>116</v>
      </c>
      <c r="C47" s="345"/>
      <c r="D47" s="345"/>
      <c r="E47" s="343">
        <f>C38</f>
        <v>1901.9702025887764</v>
      </c>
      <c r="F47" s="343"/>
    </row>
    <row r="48" spans="1:6" ht="27.75" customHeight="1" x14ac:dyDescent="0.3">
      <c r="B48" s="348" t="s">
        <v>121</v>
      </c>
      <c r="C48" s="348"/>
      <c r="D48" s="348"/>
      <c r="E48" s="343">
        <f>C39</f>
        <v>3927</v>
      </c>
      <c r="F48" s="343"/>
    </row>
    <row r="49" spans="2:6" ht="27.75" customHeight="1" x14ac:dyDescent="0.3">
      <c r="B49" s="340" t="s">
        <v>122</v>
      </c>
      <c r="C49" s="340"/>
      <c r="D49" s="340"/>
      <c r="E49" s="341">
        <f>C38/C39-1</f>
        <v>-0.51566839760917338</v>
      </c>
      <c r="F49" s="341"/>
    </row>
  </sheetData>
  <sheetProtection algorithmName="SHA-512" hashValue="0n3ncCKqEXqkvLcSRZcPKmgFJXfciqFWF3kbbvEgtzsDEsManQ9wxM27apU5xtBJogEWdIWwX+3sGNKnP4c4Mg==" saltValue="tlGtC6ncHdLBelxPgspiiw==" spinCount="100000" sheet="1" objects="1" scenarios="1"/>
  <mergeCells count="15">
    <mergeCell ref="B1:F1"/>
    <mergeCell ref="B17:F17"/>
    <mergeCell ref="B22:F22"/>
    <mergeCell ref="B48:D48"/>
    <mergeCell ref="E48:F48"/>
    <mergeCell ref="E28:F28"/>
    <mergeCell ref="B28:C28"/>
    <mergeCell ref="B49:D49"/>
    <mergeCell ref="E49:F49"/>
    <mergeCell ref="B45:D45"/>
    <mergeCell ref="E45:F45"/>
    <mergeCell ref="B46:D46"/>
    <mergeCell ref="E46:F46"/>
    <mergeCell ref="B47:D47"/>
    <mergeCell ref="E47:F47"/>
  </mergeCells>
  <conditionalFormatting sqref="C40">
    <cfRule type="cellIs" dxfId="2" priority="2" operator="lessThan">
      <formula>0</formula>
    </cfRule>
  </conditionalFormatting>
  <conditionalFormatting sqref="E49:F49">
    <cfRule type="cellIs" dxfId="1" priority="3" operator="lessThan">
      <formula>0</formula>
    </cfRule>
  </conditionalFormatting>
  <conditionalFormatting sqref="F40">
    <cfRule type="cellIs" dxfId="0" priority="1" operator="lessThan">
      <formula>0</formula>
    </cfRule>
  </conditionalFormatting>
  <pageMargins left="0.75" right="0.75" top="1" bottom="1" header="0.511811023622047" footer="0.511811023622047"/>
  <pageSetup paperSize="9" fitToHeight="0" orientation="landscape" horizontalDpi="300" verticalDpi="300" r:id="rId1"/>
  <rowBreaks count="1" manualBreakCount="1">
    <brk id="27"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B1:M36"/>
  <sheetViews>
    <sheetView showGridLines="0" zoomScale="106" zoomScaleNormal="100" workbookViewId="0"/>
  </sheetViews>
  <sheetFormatPr defaultColWidth="8.6640625" defaultRowHeight="14.4" x14ac:dyDescent="0.3"/>
  <cols>
    <col min="1" max="1" width="2.33203125" style="199" customWidth="1"/>
    <col min="2" max="2" width="3.5546875" style="199" bestFit="1" customWidth="1"/>
    <col min="3" max="3" width="8.6640625" style="199" customWidth="1"/>
    <col min="4" max="7" width="14" style="199" customWidth="1"/>
    <col min="8" max="8" width="14.5546875" style="199" customWidth="1"/>
    <col min="9" max="9" width="2.88671875" style="199" customWidth="1"/>
    <col min="10" max="10" width="5.21875" style="199" bestFit="1" customWidth="1"/>
    <col min="11" max="16384" width="8.6640625" style="199"/>
  </cols>
  <sheetData>
    <row r="1" spans="2:13" s="11" customFormat="1" ht="27" customHeight="1" x14ac:dyDescent="0.3">
      <c r="B1" s="350" t="s">
        <v>123</v>
      </c>
      <c r="C1" s="351"/>
      <c r="D1" s="351"/>
      <c r="E1" s="351"/>
      <c r="F1" s="351"/>
      <c r="G1" s="351"/>
      <c r="H1" s="352"/>
    </row>
    <row r="2" spans="2:13" s="8" customFormat="1" ht="13.8" customHeight="1" x14ac:dyDescent="0.3"/>
    <row r="3" spans="2:13" s="11" customFormat="1" ht="15" customHeight="1" x14ac:dyDescent="0.3">
      <c r="B3" s="353" t="s">
        <v>124</v>
      </c>
      <c r="C3" s="354"/>
      <c r="D3" s="354"/>
      <c r="E3" s="354"/>
      <c r="F3" s="354"/>
      <c r="G3" s="354"/>
      <c r="H3" s="355"/>
    </row>
    <row r="4" spans="2:13" s="8" customFormat="1" ht="4.95" customHeight="1" x14ac:dyDescent="0.3"/>
    <row r="5" spans="2:13" s="8" customFormat="1" ht="15" customHeight="1" x14ac:dyDescent="0.3">
      <c r="B5" s="356" t="s">
        <v>89</v>
      </c>
      <c r="C5" s="357" t="s">
        <v>174</v>
      </c>
      <c r="D5" s="357"/>
      <c r="E5" s="357"/>
      <c r="F5" s="357"/>
      <c r="G5" s="357"/>
      <c r="H5" s="357"/>
    </row>
    <row r="6" spans="2:13" s="8" customFormat="1" ht="15" customHeight="1" x14ac:dyDescent="0.3">
      <c r="B6" s="356"/>
      <c r="C6" s="294">
        <f>'DCF Valuation'!C38</f>
        <v>1901.9702025887764</v>
      </c>
      <c r="D6" s="288">
        <v>4.4999999999999998E-2</v>
      </c>
      <c r="E6" s="288">
        <v>0.05</v>
      </c>
      <c r="F6" s="288">
        <v>5.5E-2</v>
      </c>
      <c r="G6" s="288">
        <v>0.06</v>
      </c>
      <c r="H6" s="289">
        <v>6.5000000000000002E-2</v>
      </c>
      <c r="J6" s="305">
        <f>WACC!C29</f>
        <v>0.13923208121311448</v>
      </c>
      <c r="K6" s="310" t="s">
        <v>175</v>
      </c>
    </row>
    <row r="7" spans="2:13" s="8" customFormat="1" ht="15" customHeight="1" x14ac:dyDescent="0.3">
      <c r="B7" s="356"/>
      <c r="C7" s="288">
        <v>0.129</v>
      </c>
      <c r="D7" s="295">
        <f t="dataTable" ref="D7:H11" dt2D="1" dtr="1" r1="J7" r2="J6"/>
        <v>1973.5338869440743</v>
      </c>
      <c r="E7" s="296">
        <v>2118.3672386507733</v>
      </c>
      <c r="F7" s="296">
        <v>2282.7726649124324</v>
      </c>
      <c r="G7" s="296">
        <v>2471.0049645453469</v>
      </c>
      <c r="H7" s="297">
        <v>2688.6485609959032</v>
      </c>
      <c r="J7" s="306">
        <f>Assumptions!C24</f>
        <v>5.5E-2</v>
      </c>
      <c r="K7" s="290"/>
      <c r="M7" s="199"/>
    </row>
    <row r="8" spans="2:13" s="8" customFormat="1" ht="15" customHeight="1" x14ac:dyDescent="0.3">
      <c r="B8" s="356"/>
      <c r="C8" s="288">
        <v>0.13400000000000001</v>
      </c>
      <c r="D8" s="298">
        <v>1814.4067531282496</v>
      </c>
      <c r="E8" s="299">
        <v>1941.2736531058292</v>
      </c>
      <c r="F8" s="299">
        <v>2084.1996543463933</v>
      </c>
      <c r="G8" s="299">
        <v>2246.4399800789274</v>
      </c>
      <c r="H8" s="300">
        <v>2432.1933964973359</v>
      </c>
      <c r="M8" s="199"/>
    </row>
    <row r="9" spans="2:13" s="8" customFormat="1" ht="15" customHeight="1" x14ac:dyDescent="0.3">
      <c r="B9" s="356"/>
      <c r="C9" s="288">
        <v>0.13923208121311448</v>
      </c>
      <c r="D9" s="298">
        <v>1666.2624611907856</v>
      </c>
      <c r="E9" s="299">
        <v>1777.5125483011461</v>
      </c>
      <c r="F9" s="301">
        <v>1901.9702025887764</v>
      </c>
      <c r="G9" s="299">
        <v>2042.1358443963709</v>
      </c>
      <c r="H9" s="300">
        <v>2201.1835705422977</v>
      </c>
      <c r="M9" s="56"/>
    </row>
    <row r="10" spans="2:13" s="8" customFormat="1" ht="15" customHeight="1" x14ac:dyDescent="0.3">
      <c r="B10" s="356"/>
      <c r="C10" s="288">
        <v>0.14399999999999999</v>
      </c>
      <c r="D10" s="298">
        <v>1545.135753970631</v>
      </c>
      <c r="E10" s="299">
        <v>1644.4052147205682</v>
      </c>
      <c r="F10" s="299">
        <v>1754.8285474648794</v>
      </c>
      <c r="G10" s="299">
        <v>1878.3975150597053</v>
      </c>
      <c r="H10" s="300">
        <v>2017.6081241222303</v>
      </c>
      <c r="M10" s="56"/>
    </row>
    <row r="11" spans="2:13" s="8" customFormat="1" ht="15" customHeight="1" x14ac:dyDescent="0.3">
      <c r="B11" s="356"/>
      <c r="C11" s="289">
        <v>0.14899999999999999</v>
      </c>
      <c r="D11" s="302">
        <v>1430.2703440525368</v>
      </c>
      <c r="E11" s="303">
        <v>1518.8284183745957</v>
      </c>
      <c r="F11" s="303">
        <v>1616.8075644330429</v>
      </c>
      <c r="G11" s="303">
        <v>1725.795603307047</v>
      </c>
      <c r="H11" s="304">
        <v>1847.7584087136702</v>
      </c>
      <c r="M11" s="56"/>
    </row>
    <row r="12" spans="2:13" s="11" customFormat="1" ht="13.8" x14ac:dyDescent="0.3">
      <c r="M12" s="231"/>
    </row>
    <row r="13" spans="2:13" s="11" customFormat="1" ht="13.8" customHeight="1" x14ac:dyDescent="0.3">
      <c r="B13" s="349" t="s">
        <v>143</v>
      </c>
      <c r="C13" s="349"/>
      <c r="D13" s="349"/>
      <c r="E13" s="349"/>
      <c r="F13" s="349"/>
      <c r="G13" s="349"/>
      <c r="H13" s="349"/>
      <c r="M13" s="231"/>
    </row>
    <row r="14" spans="2:13" s="8" customFormat="1" ht="4.95" customHeight="1" x14ac:dyDescent="0.3"/>
    <row r="15" spans="2:13" s="8" customFormat="1" ht="13.8" customHeight="1" x14ac:dyDescent="0.3">
      <c r="B15" s="357" t="s">
        <v>174</v>
      </c>
      <c r="C15" s="357"/>
      <c r="D15" s="357"/>
      <c r="E15" s="357"/>
      <c r="F15" s="357"/>
      <c r="G15" s="357"/>
      <c r="H15" s="357"/>
      <c r="J15" s="307">
        <f>WACC!C29</f>
        <v>0.13923208121311448</v>
      </c>
      <c r="K15" s="310" t="s">
        <v>175</v>
      </c>
    </row>
    <row r="16" spans="2:13" s="11" customFormat="1" ht="15" customHeight="1" x14ac:dyDescent="0.3">
      <c r="B16" s="356" t="s">
        <v>89</v>
      </c>
      <c r="C16" s="294">
        <f>'DCF Valuation'!F38</f>
        <v>3662.8193555631715</v>
      </c>
      <c r="D16" s="291">
        <v>12</v>
      </c>
      <c r="E16" s="291">
        <v>13</v>
      </c>
      <c r="F16" s="291">
        <v>14</v>
      </c>
      <c r="G16" s="291">
        <v>15</v>
      </c>
      <c r="H16" s="292">
        <v>16</v>
      </c>
      <c r="J16" s="308">
        <f>Assumptions!C26</f>
        <v>14</v>
      </c>
      <c r="M16" s="231"/>
    </row>
    <row r="17" spans="2:13" s="11" customFormat="1" x14ac:dyDescent="0.3">
      <c r="B17" s="356"/>
      <c r="C17" s="288">
        <v>0.129</v>
      </c>
      <c r="D17" s="295">
        <f t="dataTable" ref="D17:H21" dt2D="1" dtr="1" r1="J16" r2="J15"/>
        <v>3237.6781689884997</v>
      </c>
      <c r="E17" s="296">
        <v>3520.3953829092757</v>
      </c>
      <c r="F17" s="296">
        <v>3803.112596830053</v>
      </c>
      <c r="G17" s="296">
        <v>4085.8298107508285</v>
      </c>
      <c r="H17" s="297">
        <v>4368.5470246716059</v>
      </c>
      <c r="M17" s="293"/>
    </row>
    <row r="18" spans="2:13" s="11" customFormat="1" ht="15" customHeight="1" x14ac:dyDescent="0.3">
      <c r="B18" s="356"/>
      <c r="C18" s="288">
        <v>0.13400000000000001</v>
      </c>
      <c r="D18" s="298">
        <v>3178.2384057578588</v>
      </c>
      <c r="E18" s="299">
        <v>3456.0023060760814</v>
      </c>
      <c r="F18" s="299">
        <v>3733.7662063943048</v>
      </c>
      <c r="G18" s="299">
        <v>4011.5301067125288</v>
      </c>
      <c r="H18" s="300">
        <v>4289.2940070307513</v>
      </c>
    </row>
    <row r="19" spans="2:13" s="11" customFormat="1" ht="15" customHeight="1" x14ac:dyDescent="0.3">
      <c r="B19" s="356"/>
      <c r="C19" s="288">
        <v>0.13923208121311448</v>
      </c>
      <c r="D19" s="298">
        <v>3117.4268193311727</v>
      </c>
      <c r="E19" s="299">
        <v>3390.1230874471717</v>
      </c>
      <c r="F19" s="309">
        <v>3662.8193555631715</v>
      </c>
      <c r="G19" s="299">
        <v>3935.5156236791713</v>
      </c>
      <c r="H19" s="300">
        <v>4208.2118917951702</v>
      </c>
    </row>
    <row r="20" spans="2:13" s="11" customFormat="1" ht="15" customHeight="1" x14ac:dyDescent="0.3">
      <c r="B20" s="356"/>
      <c r="C20" s="288">
        <v>0.14399999999999999</v>
      </c>
      <c r="D20" s="298">
        <v>3063.2133420160203</v>
      </c>
      <c r="E20" s="299">
        <v>3331.3918203557573</v>
      </c>
      <c r="F20" s="299">
        <v>3599.5702986954943</v>
      </c>
      <c r="G20" s="299">
        <v>3867.74877703523</v>
      </c>
      <c r="H20" s="300">
        <v>4135.9272553749679</v>
      </c>
    </row>
    <row r="21" spans="2:13" s="11" customFormat="1" ht="15" customHeight="1" x14ac:dyDescent="0.3">
      <c r="B21" s="356"/>
      <c r="C21" s="289">
        <v>0.14899999999999999</v>
      </c>
      <c r="D21" s="302">
        <v>3007.5615323201819</v>
      </c>
      <c r="E21" s="303">
        <v>3271.1023598519323</v>
      </c>
      <c r="F21" s="303">
        <v>3534.6431873836827</v>
      </c>
      <c r="G21" s="303">
        <v>3798.1840149154332</v>
      </c>
      <c r="H21" s="304">
        <v>4061.7248424471836</v>
      </c>
    </row>
    <row r="22" spans="2:13" s="11" customFormat="1" x14ac:dyDescent="0.3">
      <c r="B22" s="8"/>
      <c r="C22" s="8"/>
      <c r="D22" s="8"/>
      <c r="E22" s="8"/>
      <c r="F22" s="8"/>
      <c r="G22" s="8"/>
      <c r="H22" s="8"/>
    </row>
    <row r="23" spans="2:13" s="11" customFormat="1" ht="16.8" customHeight="1" x14ac:dyDescent="0.3">
      <c r="B23" s="8"/>
      <c r="C23" s="226" t="s">
        <v>125</v>
      </c>
      <c r="D23" s="358" t="s">
        <v>144</v>
      </c>
      <c r="E23" s="359"/>
      <c r="F23" s="8"/>
      <c r="G23" s="8"/>
      <c r="H23" s="8"/>
    </row>
    <row r="24" spans="2:13" s="11" customFormat="1" ht="20.399999999999999" customHeight="1" x14ac:dyDescent="0.3">
      <c r="D24" s="360" t="s">
        <v>145</v>
      </c>
      <c r="E24" s="361"/>
    </row>
    <row r="25" spans="2:13" s="11" customFormat="1" ht="15.6" customHeight="1" x14ac:dyDescent="0.3">
      <c r="D25" s="362" t="s">
        <v>146</v>
      </c>
      <c r="E25" s="363"/>
    </row>
    <row r="26" spans="2:13" s="11" customFormat="1" ht="13.8" x14ac:dyDescent="0.3">
      <c r="D26" s="311"/>
      <c r="E26" s="311"/>
    </row>
    <row r="27" spans="2:13" s="11" customFormat="1" ht="13.8" x14ac:dyDescent="0.3"/>
    <row r="28" spans="2:13" s="11" customFormat="1" ht="13.8" x14ac:dyDescent="0.3"/>
    <row r="29" spans="2:13" s="11" customFormat="1" x14ac:dyDescent="0.3">
      <c r="F29" s="8"/>
      <c r="G29" s="8"/>
      <c r="H29" s="8"/>
      <c r="I29" s="8"/>
      <c r="J29" s="8"/>
      <c r="K29" s="8"/>
      <c r="L29" s="8"/>
      <c r="M29" s="8"/>
    </row>
    <row r="30" spans="2:13" s="11" customFormat="1" ht="15" customHeight="1" x14ac:dyDescent="0.3">
      <c r="F30" s="8"/>
      <c r="G30" s="8"/>
      <c r="H30" s="8"/>
      <c r="I30" s="8"/>
      <c r="J30" s="8"/>
      <c r="K30" s="8"/>
      <c r="L30" s="8"/>
      <c r="M30" s="8"/>
    </row>
    <row r="31" spans="2:13" s="11" customFormat="1" ht="15" customHeight="1" x14ac:dyDescent="0.3">
      <c r="F31" s="8"/>
      <c r="G31" s="8"/>
      <c r="H31" s="8"/>
      <c r="I31" s="8"/>
      <c r="J31" s="8"/>
      <c r="K31" s="8"/>
      <c r="L31" s="8"/>
      <c r="M31" s="8"/>
    </row>
    <row r="32" spans="2:13" s="11" customFormat="1" ht="15" customHeight="1" x14ac:dyDescent="0.3">
      <c r="F32" s="8"/>
      <c r="G32" s="8"/>
      <c r="H32" s="8"/>
      <c r="I32" s="8"/>
      <c r="J32" s="8"/>
      <c r="K32" s="8"/>
      <c r="L32" s="8"/>
      <c r="M32" s="8"/>
    </row>
    <row r="33" s="11" customFormat="1" ht="15" customHeight="1" x14ac:dyDescent="0.3"/>
    <row r="34" s="11" customFormat="1" ht="15" customHeight="1" x14ac:dyDescent="0.3"/>
    <row r="35" s="11" customFormat="1" ht="15" customHeight="1" x14ac:dyDescent="0.3"/>
    <row r="36" s="11" customFormat="1" ht="15" customHeight="1" x14ac:dyDescent="0.3"/>
  </sheetData>
  <sheetProtection algorithmName="SHA-512" hashValue="3A2eBeO1Tlte9v6jqZ/WSAozMfZmSi4MDKwcf4hJ98fsml8faHzfWIuEJ/f/2EVkI6ncUusT8dVXM0UsLlkX6A==" saltValue="TuYu2q1KGfwQTEHmouYSWw==" spinCount="100000" sheet="1" objects="1" scenarios="1"/>
  <mergeCells count="10">
    <mergeCell ref="D23:E23"/>
    <mergeCell ref="D24:E24"/>
    <mergeCell ref="D25:E25"/>
    <mergeCell ref="B15:H15"/>
    <mergeCell ref="B16:B21"/>
    <mergeCell ref="B13:H13"/>
    <mergeCell ref="B1:H1"/>
    <mergeCell ref="B3:H3"/>
    <mergeCell ref="B5:B11"/>
    <mergeCell ref="C5:H5"/>
  </mergeCells>
  <conditionalFormatting sqref="D7:H11">
    <cfRule type="colorScale" priority="2">
      <colorScale>
        <cfvo type="min"/>
        <cfvo type="max"/>
        <color theme="4" tint="0.59999389629810485"/>
        <color theme="4" tint="-0.499984740745262"/>
      </colorScale>
    </cfRule>
  </conditionalFormatting>
  <conditionalFormatting sqref="D17:H21">
    <cfRule type="colorScale" priority="1">
      <colorScale>
        <cfvo type="min"/>
        <cfvo type="max"/>
        <color theme="4" tint="0.59999389629810485"/>
        <color theme="4" tint="-0.499984740745262"/>
      </colorScale>
    </cfRule>
  </conditionalFormatting>
  <pageMargins left="1.92" right="0.75" top="1" bottom="1" header="0.511811023622047" footer="0.511811023622047"/>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9923-6604-4754-8C83-5514B862C575}">
  <sheetPr codeName="Sheet8"/>
  <dimension ref="B2:H8"/>
  <sheetViews>
    <sheetView showGridLines="0" topLeftCell="A2" zoomScaleNormal="91" workbookViewId="0">
      <selection activeCell="A2" sqref="A2"/>
    </sheetView>
  </sheetViews>
  <sheetFormatPr defaultRowHeight="14.4" x14ac:dyDescent="0.3"/>
  <cols>
    <col min="1" max="1" width="2.33203125" style="8" customWidth="1"/>
    <col min="2" max="2" width="41" style="8" customWidth="1"/>
    <col min="3" max="3" width="6.77734375" style="8" bestFit="1" customWidth="1"/>
    <col min="4" max="4" width="7.109375" style="8" bestFit="1" customWidth="1"/>
    <col min="5" max="5" width="12.5546875" style="8" bestFit="1" customWidth="1"/>
    <col min="6" max="7" width="10.21875" style="8" bestFit="1" customWidth="1"/>
    <col min="8" max="16384" width="8.88671875" style="8"/>
  </cols>
  <sheetData>
    <row r="2" spans="2:8" ht="18" x14ac:dyDescent="0.3">
      <c r="B2" s="370" t="s">
        <v>126</v>
      </c>
      <c r="C2" s="370"/>
      <c r="D2" s="370"/>
      <c r="E2" s="370"/>
      <c r="F2" s="370"/>
      <c r="G2" s="370"/>
    </row>
    <row r="3" spans="2:8" x14ac:dyDescent="0.3">
      <c r="B3" s="371" t="s">
        <v>127</v>
      </c>
      <c r="C3" s="371"/>
      <c r="D3" s="371"/>
      <c r="E3" s="372"/>
      <c r="F3" s="312" t="s">
        <v>128</v>
      </c>
      <c r="G3" s="313" t="s">
        <v>129</v>
      </c>
      <c r="H3" s="314" t="s">
        <v>142</v>
      </c>
    </row>
    <row r="4" spans="2:8" x14ac:dyDescent="0.3">
      <c r="B4" s="373" t="s">
        <v>147</v>
      </c>
      <c r="C4" s="374"/>
      <c r="D4" s="374"/>
      <c r="E4" s="375"/>
      <c r="F4" s="316">
        <f>Sensitivity!D11</f>
        <v>1430.2703440525368</v>
      </c>
      <c r="G4" s="316">
        <f>Sensitivity!E10</f>
        <v>1644.4052147205682</v>
      </c>
      <c r="H4" s="319">
        <f>G4-F4</f>
        <v>214.13487066803145</v>
      </c>
    </row>
    <row r="5" spans="2:8" x14ac:dyDescent="0.3">
      <c r="B5" s="364" t="s">
        <v>148</v>
      </c>
      <c r="C5" s="365"/>
      <c r="D5" s="365"/>
      <c r="E5" s="366"/>
      <c r="F5" s="317">
        <f>Sensitivity!E9</f>
        <v>1777.5125483011461</v>
      </c>
      <c r="G5" s="317">
        <f>Sensitivity!G9</f>
        <v>2042.1358443963709</v>
      </c>
      <c r="H5" s="319">
        <f>G5-F5</f>
        <v>264.62329609522476</v>
      </c>
    </row>
    <row r="6" spans="2:8" x14ac:dyDescent="0.3">
      <c r="B6" s="373" t="s">
        <v>149</v>
      </c>
      <c r="C6" s="374"/>
      <c r="D6" s="374"/>
      <c r="E6" s="375"/>
      <c r="F6" s="318">
        <f>Sensitivity!G7</f>
        <v>2471.0049645453469</v>
      </c>
      <c r="G6" s="318">
        <f>Sensitivity!H7</f>
        <v>2688.6485609959032</v>
      </c>
      <c r="H6" s="319">
        <f>G6-F6</f>
        <v>217.64359645055629</v>
      </c>
    </row>
    <row r="7" spans="2:8" x14ac:dyDescent="0.3">
      <c r="B7" s="364" t="s">
        <v>150</v>
      </c>
      <c r="C7" s="365"/>
      <c r="D7" s="365"/>
      <c r="E7" s="366"/>
      <c r="F7" s="317">
        <f>Sensitivity!E19</f>
        <v>3390.1230874471717</v>
      </c>
      <c r="G7" s="317">
        <f>Sensitivity!G19</f>
        <v>3935.5156236791713</v>
      </c>
      <c r="H7" s="319">
        <f>G7-F7</f>
        <v>545.39253623199966</v>
      </c>
    </row>
    <row r="8" spans="2:8" x14ac:dyDescent="0.3">
      <c r="B8" s="367" t="s">
        <v>130</v>
      </c>
      <c r="C8" s="368"/>
      <c r="D8" s="368"/>
      <c r="E8" s="369"/>
      <c r="F8" s="315">
        <v>3288</v>
      </c>
      <c r="G8" s="315">
        <v>4400</v>
      </c>
      <c r="H8" s="319">
        <f>G8-F8</f>
        <v>1112</v>
      </c>
    </row>
  </sheetData>
  <sheetProtection algorithmName="SHA-512" hashValue="4PjTQMwrJWvJnvFHKwg1Oks4gK595fskyI5yv7A8UtCu27OtgRgvGJWfz2e9fCqZX2oHnRZSeB31ZZaWA+0okQ==" saltValue="I3gaXIuab6UX/OMvz4IrTw==" spinCount="100000" sheet="1" objects="1" scenarios="1"/>
  <mergeCells count="7">
    <mergeCell ref="B7:E7"/>
    <mergeCell ref="B8:E8"/>
    <mergeCell ref="B2:G2"/>
    <mergeCell ref="B3:E3"/>
    <mergeCell ref="B4:E4"/>
    <mergeCell ref="B5:E5"/>
    <mergeCell ref="B6:E6"/>
  </mergeCells>
  <pageMargins left="1.46"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 Page</vt:lpstr>
      <vt:lpstr>Assumptions</vt:lpstr>
      <vt:lpstr>Mgmt Tracker</vt:lpstr>
      <vt:lpstr>Income Statement</vt:lpstr>
      <vt:lpstr>WACC</vt:lpstr>
      <vt:lpstr>DCF Valuation</vt:lpstr>
      <vt:lpstr>Sensitivity</vt:lpstr>
      <vt:lpstr>Football Field Summary</vt:lpstr>
      <vt:lpstr>Assumptions!Print_Area</vt:lpstr>
      <vt:lpstr>'DCF Valuation'!Print_Area</vt:lpstr>
      <vt:lpstr>Sensitivity!Print_Area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Anvay Gulwe</cp:lastModifiedBy>
  <cp:revision>0</cp:revision>
  <cp:lastPrinted>2026-06-08T07:43:24Z</cp:lastPrinted>
  <dcterms:created xsi:type="dcterms:W3CDTF">2026-05-24T06:44:16Z</dcterms:created>
  <dcterms:modified xsi:type="dcterms:W3CDTF">2026-06-08T12:10:45Z</dcterms:modified>
  <dc:language>en-US</dc:language>
</cp:coreProperties>
</file>